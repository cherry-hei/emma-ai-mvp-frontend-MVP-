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tcl.sharepoint.com/sites/DocumentLibrary/Shared Documents/MR Documents To FL/Roster/2026/2026 FL Nursing roster/"/>
    </mc:Choice>
  </mc:AlternateContent>
  <xr:revisionPtr revIDLastSave="3667" documentId="13_ncr:1_{29B5459A-B9D2-4212-95FC-159D84EC4E1F}" xr6:coauthVersionLast="47" xr6:coauthVersionMax="47" xr10:uidLastSave="{3DE789D5-856A-494C-AA7A-519CC27E1B50}"/>
  <bookViews>
    <workbookView xWindow="-120" yWindow="-120" windowWidth="29040" windowHeight="15720" tabRatio="650" xr2:uid="{FB5938A7-3E0D-405E-83D9-36920BCBB0A7}"/>
  </bookViews>
  <sheets>
    <sheet name="2026" sheetId="11" r:id="rId1"/>
    <sheet name="Leave Summary" sheetId="6" r:id="rId2"/>
  </sheets>
  <definedNames>
    <definedName name="_xlnm._FilterDatabase" localSheetId="1" hidden="1">'Leave Summary'!$AM$7:$BD$306</definedName>
    <definedName name="_xlnm.Print_Area" localSheetId="0">'2026'!$A$1:$R$93</definedName>
    <definedName name="_xlnm.Print_Area" localSheetId="1">'Leave Summary'!$AM$1:$BA$306</definedName>
    <definedName name="_xlnm.Print_Titles" localSheetId="0">'2026'!$A:$C,'2026'!$1:$4</definedName>
    <definedName name="_xlnm.Print_Titles" localSheetId="1">'Leave Summary'!$1:$6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8" i="11" l="1" a="1"/>
  <c r="AT38" i="11" s="1"/>
  <c r="AQ40" i="11"/>
  <c r="AT44" i="11" a="1"/>
  <c r="AT44" i="11" s="1"/>
  <c r="AT40" i="11" a="1"/>
  <c r="AT40" i="11" s="1"/>
  <c r="AT32" i="11" a="1"/>
  <c r="AT32" i="11" s="1"/>
  <c r="AU32" i="11" s="1"/>
  <c r="AT28" i="11" a="1"/>
  <c r="AT28" i="11" s="1"/>
  <c r="AU28" i="11" s="1"/>
  <c r="AT26" i="11" a="1"/>
  <c r="AT26" i="11" s="1"/>
  <c r="AU26" i="11" s="1"/>
  <c r="AT24" i="11" a="1"/>
  <c r="AT24" i="11" s="1"/>
  <c r="AU24" i="11" s="1"/>
  <c r="AT22" i="11" a="1"/>
  <c r="AT22" i="11" s="1"/>
  <c r="AU22" i="11" s="1"/>
  <c r="AT14" i="11" a="1"/>
  <c r="AT14" i="11" s="1"/>
  <c r="AU14" i="11" s="1"/>
  <c r="AT16" i="11" a="1"/>
  <c r="AT16" i="11" s="1"/>
  <c r="AU16" i="11" s="1"/>
  <c r="AT18" i="11" a="1"/>
  <c r="AT18" i="11" s="1"/>
  <c r="AU18" i="11" s="1"/>
  <c r="AI10" i="11" a="1"/>
  <c r="AI10" i="11" s="1"/>
  <c r="AQ10" i="11" s="1"/>
  <c r="AT30" i="11" a="1"/>
  <c r="AT30" i="11" s="1"/>
  <c r="AU30" i="11" s="1"/>
  <c r="AT20" i="11" a="1"/>
  <c r="AT20" i="11" s="1"/>
  <c r="AU20" i="11" s="1"/>
  <c r="AT12" i="11" a="1"/>
  <c r="AT12" i="11" s="1"/>
  <c r="AU12" i="11" s="1"/>
  <c r="AT10" i="11" a="1"/>
  <c r="AT10" i="11" s="1"/>
  <c r="AU10" i="11" s="1"/>
  <c r="AT8" i="11" a="1"/>
  <c r="AT8" i="11" s="1"/>
  <c r="AU8" i="11" s="1"/>
  <c r="AT6" i="11" a="1"/>
  <c r="AT6" i="11" s="1"/>
  <c r="AU6" i="11" s="1"/>
  <c r="AI32" i="11" a="1"/>
  <c r="AI32" i="11" s="1"/>
  <c r="AQ32" i="11" s="1"/>
  <c r="AI30" i="11" a="1"/>
  <c r="AI30" i="11" s="1"/>
  <c r="AQ30" i="11" s="1"/>
  <c r="AI28" i="11" a="1"/>
  <c r="AI28" i="11" s="1"/>
  <c r="AQ28" i="11" s="1"/>
  <c r="AI26" i="11" a="1"/>
  <c r="AI26" i="11" s="1"/>
  <c r="AQ26" i="11" s="1"/>
  <c r="AI24" i="11" a="1"/>
  <c r="AI24" i="11" s="1"/>
  <c r="AQ24" i="11" s="1"/>
  <c r="AI22" i="11" a="1"/>
  <c r="AI22" i="11" s="1"/>
  <c r="AQ22" i="11" s="1"/>
  <c r="AI20" i="11" a="1"/>
  <c r="AI20" i="11" s="1"/>
  <c r="AQ20" i="11" s="1"/>
  <c r="AI18" i="11" a="1"/>
  <c r="AI18" i="11" s="1"/>
  <c r="AQ18" i="11" s="1"/>
  <c r="AI16" i="11" a="1"/>
  <c r="AI16" i="11" s="1"/>
  <c r="AQ16" i="11" s="1"/>
  <c r="AI14" i="11" a="1"/>
  <c r="AI14" i="11" s="1"/>
  <c r="AQ14" i="11" s="1"/>
  <c r="AI12" i="11" a="1"/>
  <c r="AI12" i="11" s="1"/>
  <c r="AQ12" i="11" s="1"/>
  <c r="AI8" i="11" a="1"/>
  <c r="AI8" i="11" s="1"/>
  <c r="AQ8" i="11" s="1"/>
  <c r="AI6" i="11" a="1"/>
  <c r="AI6" i="11" s="1"/>
  <c r="AQ6" i="11" s="1"/>
  <c r="AT72" i="11" a="1"/>
  <c r="AT72" i="11" s="1"/>
  <c r="AT70" i="11" a="1"/>
  <c r="AT70" i="11" s="1"/>
  <c r="AT68" i="11" a="1"/>
  <c r="AT68" i="11" s="1"/>
  <c r="AT66" i="11" a="1"/>
  <c r="AT66" i="11" s="1"/>
  <c r="AT64" i="11" a="1"/>
  <c r="AT64" i="11" s="1"/>
  <c r="AU64" i="11" s="1"/>
  <c r="AT62" i="11" a="1"/>
  <c r="AT62" i="11" s="1"/>
  <c r="AU62" i="11" s="1"/>
  <c r="AT60" i="11" a="1"/>
  <c r="AT60" i="11" s="1"/>
  <c r="AU60" i="11" s="1"/>
  <c r="AT58" i="11" a="1"/>
  <c r="AT58" i="11" s="1"/>
  <c r="AU58" i="11" s="1"/>
  <c r="AT56" i="11" a="1"/>
  <c r="AT56" i="11" s="1"/>
  <c r="AU56" i="11" s="1"/>
  <c r="AT54" i="11" a="1"/>
  <c r="AT54" i="11" s="1"/>
  <c r="AU54" i="11" s="1"/>
  <c r="AT52" i="11" a="1"/>
  <c r="AT52" i="11" s="1"/>
  <c r="AU52" i="11" s="1"/>
  <c r="AT50" i="11" a="1"/>
  <c r="AT50" i="11" s="1"/>
  <c r="AU50" i="11" s="1"/>
  <c r="AT48" i="11" a="1"/>
  <c r="AT48" i="11" s="1"/>
  <c r="AT46" i="11" a="1"/>
  <c r="AT46" i="11" s="1"/>
  <c r="AT42" i="11" a="1"/>
  <c r="AT42" i="11" s="1"/>
  <c r="AT34" i="11" a="1"/>
  <c r="AT34" i="11" s="1"/>
  <c r="AU34" i="11" s="1"/>
  <c r="E82" i="11" a="1"/>
  <c r="E82" i="11" s="1"/>
  <c r="E83" i="11" s="1" a="1"/>
  <c r="E83" i="11" s="1"/>
  <c r="F82" i="11" a="1"/>
  <c r="F82" i="11" s="1"/>
  <c r="G82" i="11" a="1"/>
  <c r="G82" i="11" s="1"/>
  <c r="H82" i="11" a="1"/>
  <c r="H82" i="11" s="1"/>
  <c r="H83" i="11" s="1" a="1"/>
  <c r="H83" i="11" s="1"/>
  <c r="I82" i="11" a="1"/>
  <c r="I82" i="11" s="1"/>
  <c r="J82" i="11" a="1"/>
  <c r="J82" i="11" s="1"/>
  <c r="J83" i="11" s="1" a="1"/>
  <c r="J83" i="11" s="1"/>
  <c r="K82" i="11" a="1"/>
  <c r="K82" i="11" s="1"/>
  <c r="K83" i="11" s="1" a="1"/>
  <c r="K83" i="11" s="1"/>
  <c r="L82" i="11" a="1"/>
  <c r="L82" i="11" s="1"/>
  <c r="M82" i="11" a="1"/>
  <c r="M82" i="11" s="1"/>
  <c r="M83" i="11" s="1" a="1"/>
  <c r="M83" i="11" s="1"/>
  <c r="N82" i="11" a="1"/>
  <c r="N82" i="11" s="1"/>
  <c r="O82" i="11" a="1"/>
  <c r="O82" i="11" s="1"/>
  <c r="P82" i="11" a="1"/>
  <c r="P82" i="11" s="1"/>
  <c r="P83" i="11" s="1" a="1"/>
  <c r="P83" i="11" s="1"/>
  <c r="Q82" i="11" a="1"/>
  <c r="Q82" i="11" s="1"/>
  <c r="R82" i="11" a="1"/>
  <c r="R82" i="11" s="1"/>
  <c r="R83" i="11" s="1" a="1"/>
  <c r="R83" i="11" s="1"/>
  <c r="S82" i="11" a="1"/>
  <c r="S82" i="11" s="1"/>
  <c r="S83" i="11" s="1" a="1"/>
  <c r="S83" i="11" s="1"/>
  <c r="T82" i="11" a="1"/>
  <c r="T82" i="11" s="1"/>
  <c r="U82" i="11" a="1"/>
  <c r="U82" i="11" s="1"/>
  <c r="U83" i="11" s="1" a="1"/>
  <c r="U83" i="11" s="1"/>
  <c r="V82" i="11" a="1"/>
  <c r="V82" i="11" s="1"/>
  <c r="W82" i="11" a="1"/>
  <c r="W82" i="11" s="1"/>
  <c r="X82" i="11" a="1"/>
  <c r="X82" i="11" s="1"/>
  <c r="X83" i="11" s="1" a="1"/>
  <c r="X83" i="11" s="1"/>
  <c r="Y82" i="11" a="1"/>
  <c r="Y82" i="11" s="1"/>
  <c r="Z82" i="11" a="1"/>
  <c r="Z82" i="11" s="1"/>
  <c r="Z83" i="11" s="1" a="1"/>
  <c r="Z83" i="11" s="1"/>
  <c r="AA82" i="11" a="1"/>
  <c r="AA82" i="11" s="1"/>
  <c r="AA83" i="11" s="1" a="1"/>
  <c r="AA83" i="11" s="1"/>
  <c r="AB82" i="11" a="1"/>
  <c r="AB82" i="11" s="1"/>
  <c r="AC82" i="11" a="1"/>
  <c r="AC82" i="11" s="1"/>
  <c r="AC83" i="11" s="1" a="1"/>
  <c r="AC83" i="11" s="1"/>
  <c r="AD82" i="11" a="1"/>
  <c r="AD82" i="11" s="1"/>
  <c r="AE82" i="11" a="1"/>
  <c r="AE82" i="11" s="1"/>
  <c r="AF82" i="11" a="1"/>
  <c r="AF82" i="11" s="1"/>
  <c r="AF83" i="11" s="1" a="1"/>
  <c r="AF83" i="11" s="1"/>
  <c r="AG82" i="11" a="1"/>
  <c r="AG82" i="11" s="1"/>
  <c r="AH82" i="11" a="1"/>
  <c r="AH82" i="11" s="1"/>
  <c r="AH83" i="11" s="1" a="1"/>
  <c r="AH83" i="11" s="1"/>
  <c r="P84" i="11" l="1" a="1"/>
  <c r="P84" i="11" s="1"/>
  <c r="P85" i="11" s="1" a="1"/>
  <c r="P85" i="11" s="1"/>
  <c r="O83" i="11" a="1"/>
  <c r="O83" i="11" s="1"/>
  <c r="O84" i="11" s="1" a="1"/>
  <c r="O84" i="11" s="1"/>
  <c r="O85" i="11" s="1" a="1"/>
  <c r="O85" i="11" s="1"/>
  <c r="K84" i="11" a="1"/>
  <c r="K84" i="11" s="1"/>
  <c r="K85" i="11" s="1" a="1"/>
  <c r="K85" i="11" s="1"/>
  <c r="Y83" i="11" a="1"/>
  <c r="Y83" i="11" s="1"/>
  <c r="Y84" i="11" s="1" a="1"/>
  <c r="Y84" i="11" s="1"/>
  <c r="N83" i="11" a="1"/>
  <c r="N83" i="11" s="1"/>
  <c r="H84" i="11" a="1"/>
  <c r="H84" i="11" s="1"/>
  <c r="H85" i="11" s="1" a="1"/>
  <c r="H85" i="11" s="1"/>
  <c r="M84" i="11" a="1"/>
  <c r="M84" i="11" s="1"/>
  <c r="M85" i="11" s="1" a="1"/>
  <c r="M85" i="11" s="1"/>
  <c r="W83" i="11" a="1"/>
  <c r="W83" i="11" s="1"/>
  <c r="W84" i="11" s="1" a="1"/>
  <c r="W84" i="11" s="1"/>
  <c r="W85" i="11" s="1" a="1"/>
  <c r="W85" i="11" s="1"/>
  <c r="L83" i="11" a="1"/>
  <c r="L83" i="11" s="1"/>
  <c r="L84" i="11" s="1" a="1"/>
  <c r="L84" i="11" s="1"/>
  <c r="L85" i="11" s="1" a="1"/>
  <c r="L85" i="11" s="1"/>
  <c r="AG83" i="11" a="1"/>
  <c r="AG83" i="11" s="1"/>
  <c r="AG84" i="11" s="1" a="1"/>
  <c r="AG84" i="11" s="1"/>
  <c r="V83" i="11" a="1"/>
  <c r="V83" i="11" s="1"/>
  <c r="J84" i="11" a="1"/>
  <c r="J84" i="11" s="1"/>
  <c r="J85" i="11" s="1" a="1"/>
  <c r="J85" i="11" s="1"/>
  <c r="U84" i="11" a="1"/>
  <c r="U84" i="11" s="1"/>
  <c r="U85" i="11" s="1" a="1"/>
  <c r="U85" i="11" s="1"/>
  <c r="AE83" i="11" a="1"/>
  <c r="AE83" i="11" s="1"/>
  <c r="AE84" i="11" s="1" a="1"/>
  <c r="AE84" i="11" s="1"/>
  <c r="AE85" i="11" s="1" a="1"/>
  <c r="AE85" i="11" s="1"/>
  <c r="T83" i="11" a="1"/>
  <c r="T83" i="11" s="1"/>
  <c r="AD83" i="11" a="1"/>
  <c r="AD83" i="11" s="1"/>
  <c r="AD84" i="11" s="1" a="1"/>
  <c r="AD84" i="11" s="1"/>
  <c r="I83" i="11" a="1"/>
  <c r="I83" i="11" s="1"/>
  <c r="AC84" i="11" a="1"/>
  <c r="AC84" i="11" s="1"/>
  <c r="AC85" i="11" s="1" a="1"/>
  <c r="AC85" i="11" s="1"/>
  <c r="AH84" i="11" a="1"/>
  <c r="AH84" i="11" s="1"/>
  <c r="AH85" i="11" s="1" a="1"/>
  <c r="AH85" i="11" s="1"/>
  <c r="R84" i="11" a="1"/>
  <c r="R84" i="11" s="1"/>
  <c r="R85" i="11" s="1" a="1"/>
  <c r="R85" i="11" s="1"/>
  <c r="AF84" i="11" a="1"/>
  <c r="AF84" i="11" s="1"/>
  <c r="AF85" i="11" s="1" a="1"/>
  <c r="AF85" i="11" s="1"/>
  <c r="AB83" i="11" a="1"/>
  <c r="AB83" i="11" s="1"/>
  <c r="G83" i="11" a="1"/>
  <c r="G83" i="11" s="1"/>
  <c r="AA84" i="11" a="1"/>
  <c r="AA84" i="11" s="1"/>
  <c r="AA85" i="11" s="1" a="1"/>
  <c r="AA85" i="11" s="1"/>
  <c r="Q83" i="11" a="1"/>
  <c r="Q83" i="11" s="1"/>
  <c r="Q84" i="11" s="1" a="1"/>
  <c r="Q84" i="11" s="1"/>
  <c r="Q85" i="11" s="1" a="1"/>
  <c r="Q85" i="11" s="1"/>
  <c r="F83" i="11" a="1"/>
  <c r="F83" i="11" s="1"/>
  <c r="X84" i="11" a="1"/>
  <c r="X84" i="11" s="1"/>
  <c r="X85" i="11" s="1" a="1"/>
  <c r="X85" i="11" s="1"/>
  <c r="E84" i="11" a="1"/>
  <c r="E84" i="11" s="1"/>
  <c r="E85" i="11" s="1" a="1"/>
  <c r="E85" i="11" s="1"/>
  <c r="S84" i="11" a="1"/>
  <c r="S84" i="11" s="1"/>
  <c r="S85" i="11" s="1" a="1"/>
  <c r="S85" i="11" s="1"/>
  <c r="Z84" i="11" a="1"/>
  <c r="Z84" i="11" s="1"/>
  <c r="Z85" i="11" s="1" a="1"/>
  <c r="Z85" i="11" s="1"/>
  <c r="D82" i="11" a="1"/>
  <c r="D82" i="11" s="1"/>
  <c r="D83" i="11" s="1" a="1"/>
  <c r="D83" i="11" s="1"/>
  <c r="AI81" i="11" a="1"/>
  <c r="AI81" i="11" s="1"/>
  <c r="AI79" i="11" a="1"/>
  <c r="AI79" i="11" s="1"/>
  <c r="AI77" i="11" a="1"/>
  <c r="AI77" i="11" s="1"/>
  <c r="AI72" i="11" a="1"/>
  <c r="AI72" i="11" s="1"/>
  <c r="AQ72" i="11" s="1"/>
  <c r="AI70" i="11" a="1"/>
  <c r="AI70" i="11" s="1"/>
  <c r="AQ70" i="11" s="1"/>
  <c r="AI68" i="11" a="1"/>
  <c r="AI68" i="11" s="1"/>
  <c r="AQ68" i="11" s="1"/>
  <c r="AI66" i="11" a="1"/>
  <c r="AI66" i="11" s="1"/>
  <c r="AQ66" i="11" s="1"/>
  <c r="AI64" i="11" a="1"/>
  <c r="AI64" i="11" s="1"/>
  <c r="AQ64" i="11" s="1"/>
  <c r="AI62" i="11" a="1"/>
  <c r="AI62" i="11" s="1"/>
  <c r="AQ62" i="11" s="1"/>
  <c r="AI60" i="11" a="1"/>
  <c r="AI60" i="11" s="1"/>
  <c r="AQ60" i="11" s="1"/>
  <c r="AI58" i="11" a="1"/>
  <c r="AI58" i="11" s="1"/>
  <c r="AQ58" i="11" s="1"/>
  <c r="AI56" i="11" a="1"/>
  <c r="AI56" i="11" s="1"/>
  <c r="AQ56" i="11" s="1"/>
  <c r="AI54" i="11" a="1"/>
  <c r="AI54" i="11" s="1"/>
  <c r="AQ54" i="11" s="1"/>
  <c r="AI52" i="11" a="1"/>
  <c r="AI52" i="11" s="1"/>
  <c r="AQ52" i="11" s="1"/>
  <c r="AI50" i="11" a="1"/>
  <c r="AI50" i="11" s="1"/>
  <c r="AQ50" i="11" s="1"/>
  <c r="AI48" i="11" a="1"/>
  <c r="AI48" i="11" s="1"/>
  <c r="AQ48" i="11" s="1"/>
  <c r="AI46" i="11" a="1"/>
  <c r="AI46" i="11" s="1"/>
  <c r="AQ46" i="11" s="1"/>
  <c r="AI44" i="11" a="1"/>
  <c r="AI44" i="11" s="1"/>
  <c r="AQ44" i="11" s="1"/>
  <c r="AI42" i="11" a="1"/>
  <c r="AI42" i="11" s="1"/>
  <c r="AQ42" i="11" s="1"/>
  <c r="AI38" i="11" a="1"/>
  <c r="AI38" i="11" s="1"/>
  <c r="AQ38" i="11" s="1"/>
  <c r="AI34" i="11" a="1"/>
  <c r="AI34" i="11" s="1"/>
  <c r="AQ34" i="11" s="1"/>
  <c r="V84" i="11" l="1" a="1"/>
  <c r="V84" i="11" s="1"/>
  <c r="V85" i="11" s="1" a="1"/>
  <c r="V85" i="11" s="1"/>
  <c r="AG85" i="11" a="1"/>
  <c r="AG85" i="11" s="1"/>
  <c r="Y85" i="11" a="1"/>
  <c r="Y85" i="11" s="1"/>
  <c r="AD85" i="11" a="1"/>
  <c r="AD85" i="11" s="1"/>
  <c r="I84" i="11" a="1"/>
  <c r="I84" i="11" s="1"/>
  <c r="I85" i="11" s="1" a="1"/>
  <c r="I85" i="11" s="1"/>
  <c r="AB84" i="11" a="1"/>
  <c r="AB84" i="11" s="1"/>
  <c r="AB85" i="11" s="1" a="1"/>
  <c r="AB85" i="11" s="1"/>
  <c r="T84" i="11" a="1"/>
  <c r="T84" i="11" s="1"/>
  <c r="T85" i="11" s="1" a="1"/>
  <c r="T85" i="11" s="1"/>
  <c r="F84" i="11" a="1"/>
  <c r="F84" i="11" s="1"/>
  <c r="F85" i="11" s="1" a="1"/>
  <c r="F85" i="11" s="1"/>
  <c r="N84" i="11" a="1"/>
  <c r="N84" i="11" s="1"/>
  <c r="N85" i="11" s="1" a="1"/>
  <c r="N85" i="11" s="1"/>
  <c r="G84" i="11" a="1"/>
  <c r="G84" i="11" s="1"/>
  <c r="G85" i="11" s="1" a="1"/>
  <c r="G85" i="11" s="1"/>
  <c r="D84" i="11" a="1"/>
  <c r="D84" i="11" s="1"/>
  <c r="AI36" i="11"/>
  <c r="AU46" i="11"/>
  <c r="AU72" i="11"/>
  <c r="AU70" i="11"/>
  <c r="AU68" i="11"/>
  <c r="AU66" i="11"/>
  <c r="AU48" i="11"/>
  <c r="AU44" i="11"/>
  <c r="AU42" i="11"/>
  <c r="AU40" i="11"/>
  <c r="AU38" i="11"/>
  <c r="B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D4" i="6"/>
  <c r="C4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E4" i="6"/>
  <c r="A7" i="6"/>
  <c r="A8" i="6"/>
  <c r="A9" i="6"/>
  <c r="A10" i="6"/>
  <c r="A11" i="6"/>
  <c r="A12" i="6"/>
  <c r="A13" i="6"/>
  <c r="A14" i="6"/>
  <c r="A15" i="6"/>
  <c r="A16" i="6"/>
  <c r="A17" i="6"/>
  <c r="AZ296" i="6"/>
  <c r="AZ284" i="6"/>
  <c r="AZ272" i="6"/>
  <c r="AZ260" i="6"/>
  <c r="AZ248" i="6"/>
  <c r="AZ236" i="6"/>
  <c r="AZ224" i="6"/>
  <c r="AZ212" i="6"/>
  <c r="AZ200" i="6"/>
  <c r="AZ188" i="6"/>
  <c r="AZ176" i="6"/>
  <c r="AZ164" i="6"/>
  <c r="AZ152" i="6"/>
  <c r="AZ140" i="6"/>
  <c r="AZ128" i="6"/>
  <c r="AZ116" i="6"/>
  <c r="AZ104" i="6"/>
  <c r="AZ92" i="6"/>
  <c r="AZ80" i="6"/>
  <c r="AZ68" i="6"/>
  <c r="AZ56" i="6"/>
  <c r="AZ44" i="6"/>
  <c r="AZ32" i="6"/>
  <c r="AZ20" i="6"/>
  <c r="AZ8" i="6"/>
  <c r="AM297" i="6"/>
  <c r="BC296" i="6"/>
  <c r="AM285" i="6"/>
  <c r="BC284" i="6"/>
  <c r="AM273" i="6"/>
  <c r="BC272" i="6"/>
  <c r="AM261" i="6"/>
  <c r="BC260" i="6"/>
  <c r="AM249" i="6"/>
  <c r="BC248" i="6"/>
  <c r="AM237" i="6"/>
  <c r="BC236" i="6"/>
  <c r="AM225" i="6"/>
  <c r="BC224" i="6"/>
  <c r="AM213" i="6"/>
  <c r="BC212" i="6"/>
  <c r="AM201" i="6"/>
  <c r="BC200" i="6"/>
  <c r="AM189" i="6"/>
  <c r="BC188" i="6"/>
  <c r="AM177" i="6"/>
  <c r="BC176" i="6"/>
  <c r="AM165" i="6"/>
  <c r="BC164" i="6"/>
  <c r="AM153" i="6"/>
  <c r="BC152" i="6"/>
  <c r="AM141" i="6"/>
  <c r="BC140" i="6"/>
  <c r="AM129" i="6"/>
  <c r="BC128" i="6"/>
  <c r="AM117" i="6"/>
  <c r="BC116" i="6"/>
  <c r="AM105" i="6"/>
  <c r="BC104" i="6"/>
  <c r="AM93" i="6"/>
  <c r="BC92" i="6"/>
  <c r="AM81" i="6"/>
  <c r="BC80" i="6"/>
  <c r="AM69" i="6"/>
  <c r="BC68" i="6"/>
  <c r="AM57" i="6"/>
  <c r="BC56" i="6"/>
  <c r="AM45" i="6"/>
  <c r="AM33" i="6"/>
  <c r="AM21" i="6"/>
  <c r="AN21" i="6"/>
  <c r="AN22" i="6"/>
  <c r="AN33" i="6"/>
  <c r="AN45" i="6"/>
  <c r="AN46" i="6"/>
  <c r="AN47" i="6"/>
  <c r="AN57" i="6"/>
  <c r="AN69" i="6"/>
  <c r="AN81" i="6"/>
  <c r="AN93" i="6"/>
  <c r="AN105" i="6"/>
  <c r="AN117" i="6"/>
  <c r="AN118" i="6"/>
  <c r="AN129" i="6"/>
  <c r="AN141" i="6"/>
  <c r="AN153" i="6"/>
  <c r="AN165" i="6"/>
  <c r="AN177" i="6"/>
  <c r="AN189" i="6"/>
  <c r="AN201" i="6"/>
  <c r="AN213" i="6"/>
  <c r="AN225" i="6"/>
  <c r="AN226" i="6"/>
  <c r="AN237" i="6"/>
  <c r="AN249" i="6"/>
  <c r="AN261" i="6"/>
  <c r="AN273" i="6"/>
  <c r="AN285" i="6"/>
  <c r="AN297" i="6"/>
  <c r="A5" i="6"/>
  <c r="A6" i="6"/>
  <c r="A18" i="6"/>
  <c r="A19" i="6"/>
  <c r="A20" i="6"/>
  <c r="AM9" i="6"/>
  <c r="AN9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R21" i="6"/>
  <c r="AR81" i="6"/>
  <c r="AX117" i="6"/>
  <c r="AU45" i="6"/>
  <c r="AX141" i="6"/>
  <c r="AR45" i="6"/>
  <c r="AQ22" i="6"/>
  <c r="AM10" i="6"/>
  <c r="AM11" i="6"/>
  <c r="AM12" i="6"/>
  <c r="AM13" i="6"/>
  <c r="AM14" i="6"/>
  <c r="AM15" i="6"/>
  <c r="AM16" i="6"/>
  <c r="AM17" i="6"/>
  <c r="AM18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AT261" i="6"/>
  <c r="AW21" i="6"/>
  <c r="AS285" i="6"/>
  <c r="AP213" i="6"/>
  <c r="AM22" i="6"/>
  <c r="AM23" i="6"/>
  <c r="AM24" i="6"/>
  <c r="AM25" i="6"/>
  <c r="AM26" i="6"/>
  <c r="AM27" i="6"/>
  <c r="AM28" i="6"/>
  <c r="AM29" i="6"/>
  <c r="AM30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AQ9" i="6"/>
  <c r="AT47" i="6"/>
  <c r="AQ285" i="6"/>
  <c r="AX21" i="6"/>
  <c r="AM34" i="6"/>
  <c r="AM35" i="6"/>
  <c r="AM36" i="6"/>
  <c r="AM37" i="6"/>
  <c r="AM38" i="6"/>
  <c r="AM39" i="6"/>
  <c r="AM40" i="6"/>
  <c r="AM41" i="6"/>
  <c r="AM42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AM46" i="6"/>
  <c r="AM47" i="6"/>
  <c r="AM48" i="6"/>
  <c r="AM49" i="6"/>
  <c r="AM50" i="6"/>
  <c r="AM51" i="6"/>
  <c r="AM52" i="6"/>
  <c r="AM53" i="6"/>
  <c r="AM54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AM118" i="6"/>
  <c r="AM119" i="6"/>
  <c r="AM120" i="6"/>
  <c r="AM121" i="6"/>
  <c r="AM122" i="6"/>
  <c r="AM123" i="6"/>
  <c r="AM124" i="6"/>
  <c r="AM125" i="6"/>
  <c r="AM126" i="6"/>
  <c r="BC117" i="6"/>
  <c r="BC118" i="6"/>
  <c r="BC119" i="6"/>
  <c r="BC120" i="6"/>
  <c r="BC121" i="6"/>
  <c r="BC122" i="6"/>
  <c r="BC123" i="6"/>
  <c r="BC124" i="6"/>
  <c r="BC125" i="6"/>
  <c r="BC126" i="6"/>
  <c r="BC127" i="6"/>
  <c r="AM154" i="6"/>
  <c r="AM155" i="6"/>
  <c r="AM156" i="6"/>
  <c r="AM157" i="6"/>
  <c r="AM158" i="6"/>
  <c r="AM159" i="6"/>
  <c r="AM160" i="6"/>
  <c r="AM161" i="6"/>
  <c r="AM162" i="6"/>
  <c r="BC153" i="6"/>
  <c r="BC154" i="6"/>
  <c r="BC155" i="6"/>
  <c r="BC156" i="6"/>
  <c r="BC157" i="6"/>
  <c r="BC158" i="6"/>
  <c r="BC159" i="6"/>
  <c r="BC160" i="6"/>
  <c r="BC161" i="6"/>
  <c r="BC162" i="6"/>
  <c r="BC163" i="6"/>
  <c r="AM190" i="6"/>
  <c r="AM191" i="6"/>
  <c r="AM192" i="6"/>
  <c r="AM193" i="6"/>
  <c r="AM194" i="6"/>
  <c r="AM195" i="6"/>
  <c r="AM196" i="6"/>
  <c r="AM197" i="6"/>
  <c r="AM198" i="6"/>
  <c r="BC189" i="6"/>
  <c r="BC190" i="6"/>
  <c r="BC191" i="6"/>
  <c r="BC192" i="6"/>
  <c r="BC193" i="6"/>
  <c r="BC194" i="6"/>
  <c r="BC195" i="6"/>
  <c r="BC196" i="6"/>
  <c r="BC197" i="6"/>
  <c r="BC198" i="6"/>
  <c r="BC199" i="6"/>
  <c r="AM238" i="6"/>
  <c r="AM239" i="6"/>
  <c r="AM240" i="6"/>
  <c r="AM241" i="6"/>
  <c r="AM242" i="6"/>
  <c r="AM243" i="6"/>
  <c r="AM244" i="6"/>
  <c r="AM245" i="6"/>
  <c r="AM246" i="6"/>
  <c r="BC237" i="6"/>
  <c r="BC238" i="6"/>
  <c r="BC239" i="6"/>
  <c r="BC240" i="6"/>
  <c r="BC241" i="6"/>
  <c r="BC242" i="6"/>
  <c r="BC243" i="6"/>
  <c r="BC244" i="6"/>
  <c r="BC245" i="6"/>
  <c r="BC246" i="6"/>
  <c r="BC247" i="6"/>
  <c r="AM274" i="6"/>
  <c r="AM275" i="6"/>
  <c r="AM276" i="6"/>
  <c r="AM277" i="6"/>
  <c r="AM278" i="6"/>
  <c r="AM279" i="6"/>
  <c r="AM280" i="6"/>
  <c r="AM281" i="6"/>
  <c r="AM282" i="6"/>
  <c r="BC273" i="6"/>
  <c r="BC274" i="6"/>
  <c r="BC275" i="6"/>
  <c r="BC276" i="6"/>
  <c r="BC277" i="6"/>
  <c r="BC278" i="6"/>
  <c r="BC279" i="6"/>
  <c r="BC280" i="6"/>
  <c r="BC281" i="6"/>
  <c r="BC282" i="6"/>
  <c r="BC283" i="6"/>
  <c r="AM298" i="6"/>
  <c r="AM299" i="6"/>
  <c r="AM300" i="6"/>
  <c r="AM301" i="6"/>
  <c r="AM302" i="6"/>
  <c r="AM303" i="6"/>
  <c r="AM304" i="6"/>
  <c r="AM305" i="6"/>
  <c r="AM306" i="6"/>
  <c r="BC297" i="6"/>
  <c r="BC298" i="6"/>
  <c r="BC299" i="6"/>
  <c r="BC300" i="6"/>
  <c r="BC301" i="6"/>
  <c r="BC302" i="6"/>
  <c r="BC303" i="6"/>
  <c r="BC304" i="6"/>
  <c r="BC305" i="6"/>
  <c r="BC306" i="6"/>
  <c r="AM82" i="6"/>
  <c r="AM83" i="6"/>
  <c r="AM84" i="6"/>
  <c r="AM85" i="6"/>
  <c r="AM86" i="6"/>
  <c r="AM87" i="6"/>
  <c r="AM88" i="6"/>
  <c r="AM89" i="6"/>
  <c r="AM90" i="6"/>
  <c r="BC81" i="6"/>
  <c r="BC82" i="6"/>
  <c r="BC83" i="6"/>
  <c r="BC84" i="6"/>
  <c r="BC85" i="6"/>
  <c r="BC86" i="6"/>
  <c r="BC87" i="6"/>
  <c r="BC88" i="6"/>
  <c r="BC89" i="6"/>
  <c r="BC90" i="6"/>
  <c r="BC91" i="6"/>
  <c r="AM130" i="6"/>
  <c r="AM131" i="6"/>
  <c r="AM132" i="6"/>
  <c r="AM133" i="6"/>
  <c r="AM134" i="6"/>
  <c r="AM135" i="6"/>
  <c r="AM136" i="6"/>
  <c r="AM137" i="6"/>
  <c r="AM138" i="6"/>
  <c r="BC129" i="6"/>
  <c r="BC130" i="6"/>
  <c r="BC131" i="6"/>
  <c r="BC132" i="6"/>
  <c r="BC133" i="6"/>
  <c r="BC134" i="6"/>
  <c r="BC135" i="6"/>
  <c r="BC136" i="6"/>
  <c r="BC137" i="6"/>
  <c r="BC138" i="6"/>
  <c r="BC139" i="6"/>
  <c r="AM166" i="6"/>
  <c r="AM167" i="6"/>
  <c r="AM168" i="6"/>
  <c r="AM169" i="6"/>
  <c r="AM170" i="6"/>
  <c r="AM171" i="6"/>
  <c r="AM172" i="6"/>
  <c r="AM173" i="6"/>
  <c r="AM174" i="6"/>
  <c r="BC165" i="6"/>
  <c r="BC166" i="6"/>
  <c r="BC167" i="6"/>
  <c r="BC168" i="6"/>
  <c r="BC169" i="6"/>
  <c r="BC170" i="6"/>
  <c r="BC171" i="6"/>
  <c r="BC172" i="6"/>
  <c r="BC173" i="6"/>
  <c r="BC174" i="6"/>
  <c r="BC175" i="6"/>
  <c r="AM202" i="6"/>
  <c r="AM203" i="6"/>
  <c r="AM204" i="6"/>
  <c r="AM205" i="6"/>
  <c r="AM206" i="6"/>
  <c r="AM207" i="6"/>
  <c r="AM208" i="6"/>
  <c r="AM209" i="6"/>
  <c r="AM210" i="6"/>
  <c r="BC201" i="6"/>
  <c r="BC202" i="6"/>
  <c r="BC203" i="6"/>
  <c r="BC204" i="6"/>
  <c r="BC205" i="6"/>
  <c r="BC206" i="6"/>
  <c r="BC207" i="6"/>
  <c r="BC208" i="6"/>
  <c r="BC209" i="6"/>
  <c r="BC210" i="6"/>
  <c r="BC211" i="6"/>
  <c r="AM286" i="6"/>
  <c r="AM287" i="6"/>
  <c r="AM288" i="6"/>
  <c r="AM289" i="6"/>
  <c r="AM290" i="6"/>
  <c r="AM291" i="6"/>
  <c r="AM292" i="6"/>
  <c r="AM293" i="6"/>
  <c r="AM294" i="6"/>
  <c r="BC285" i="6"/>
  <c r="BC286" i="6"/>
  <c r="BC287" i="6"/>
  <c r="BC288" i="6"/>
  <c r="BC289" i="6"/>
  <c r="BC290" i="6"/>
  <c r="BC291" i="6"/>
  <c r="BC292" i="6"/>
  <c r="BC293" i="6"/>
  <c r="BC294" i="6"/>
  <c r="BC295" i="6"/>
  <c r="AM58" i="6"/>
  <c r="AM59" i="6"/>
  <c r="AM60" i="6"/>
  <c r="AM61" i="6"/>
  <c r="AM62" i="6"/>
  <c r="AM63" i="6"/>
  <c r="AM64" i="6"/>
  <c r="AM65" i="6"/>
  <c r="AM66" i="6"/>
  <c r="BC57" i="6"/>
  <c r="BC58" i="6"/>
  <c r="BC59" i="6"/>
  <c r="BC60" i="6"/>
  <c r="BC61" i="6"/>
  <c r="BC62" i="6"/>
  <c r="BC63" i="6"/>
  <c r="BC64" i="6"/>
  <c r="BC65" i="6"/>
  <c r="BC66" i="6"/>
  <c r="BC67" i="6"/>
  <c r="AM94" i="6"/>
  <c r="AM95" i="6"/>
  <c r="AM96" i="6"/>
  <c r="AM97" i="6"/>
  <c r="AM98" i="6"/>
  <c r="AM99" i="6"/>
  <c r="AM100" i="6"/>
  <c r="AM101" i="6"/>
  <c r="AM102" i="6"/>
  <c r="BC93" i="6"/>
  <c r="BC94" i="6"/>
  <c r="BC95" i="6"/>
  <c r="BC96" i="6"/>
  <c r="BC97" i="6"/>
  <c r="BC98" i="6"/>
  <c r="BC99" i="6"/>
  <c r="BC100" i="6"/>
  <c r="BC101" i="6"/>
  <c r="BC102" i="6"/>
  <c r="BC103" i="6"/>
  <c r="AM142" i="6"/>
  <c r="AM143" i="6"/>
  <c r="AM144" i="6"/>
  <c r="AM145" i="6"/>
  <c r="AM146" i="6"/>
  <c r="AM147" i="6"/>
  <c r="AM148" i="6"/>
  <c r="AM149" i="6"/>
  <c r="AM150" i="6"/>
  <c r="BC141" i="6"/>
  <c r="BC142" i="6"/>
  <c r="BC143" i="6"/>
  <c r="BC144" i="6"/>
  <c r="BC145" i="6"/>
  <c r="BC146" i="6"/>
  <c r="BC147" i="6"/>
  <c r="BC148" i="6"/>
  <c r="BC149" i="6"/>
  <c r="BC150" i="6"/>
  <c r="BC151" i="6"/>
  <c r="AM214" i="6"/>
  <c r="AM215" i="6"/>
  <c r="AM216" i="6"/>
  <c r="AM217" i="6"/>
  <c r="AM218" i="6"/>
  <c r="AM219" i="6"/>
  <c r="AM220" i="6"/>
  <c r="AM221" i="6"/>
  <c r="AM222" i="6"/>
  <c r="BC213" i="6"/>
  <c r="BC214" i="6"/>
  <c r="BC215" i="6"/>
  <c r="BC216" i="6"/>
  <c r="BC217" i="6"/>
  <c r="BC218" i="6"/>
  <c r="BC219" i="6"/>
  <c r="BC220" i="6"/>
  <c r="BC221" i="6"/>
  <c r="BC222" i="6"/>
  <c r="BC223" i="6"/>
  <c r="AM250" i="6"/>
  <c r="AM251" i="6"/>
  <c r="AM252" i="6"/>
  <c r="AM253" i="6"/>
  <c r="AM254" i="6"/>
  <c r="AM255" i="6"/>
  <c r="AM256" i="6"/>
  <c r="AM257" i="6"/>
  <c r="AM258" i="6"/>
  <c r="BC249" i="6"/>
  <c r="BC250" i="6"/>
  <c r="BC251" i="6"/>
  <c r="BC252" i="6"/>
  <c r="BC253" i="6"/>
  <c r="BC254" i="6"/>
  <c r="BC255" i="6"/>
  <c r="BC256" i="6"/>
  <c r="BC257" i="6"/>
  <c r="BC258" i="6"/>
  <c r="BC259" i="6"/>
  <c r="AM70" i="6"/>
  <c r="AM71" i="6"/>
  <c r="AM72" i="6"/>
  <c r="AM73" i="6"/>
  <c r="AM74" i="6"/>
  <c r="AM75" i="6"/>
  <c r="AM76" i="6"/>
  <c r="AM77" i="6"/>
  <c r="AM78" i="6"/>
  <c r="BC69" i="6"/>
  <c r="BC70" i="6"/>
  <c r="BC71" i="6"/>
  <c r="BC72" i="6"/>
  <c r="BC73" i="6"/>
  <c r="BC74" i="6"/>
  <c r="BC75" i="6"/>
  <c r="BC76" i="6"/>
  <c r="BC77" i="6"/>
  <c r="BC78" i="6"/>
  <c r="BC79" i="6"/>
  <c r="AM106" i="6"/>
  <c r="AM107" i="6"/>
  <c r="AM108" i="6"/>
  <c r="AM109" i="6"/>
  <c r="AM110" i="6"/>
  <c r="AM111" i="6"/>
  <c r="AM112" i="6"/>
  <c r="AM113" i="6"/>
  <c r="AM114" i="6"/>
  <c r="BC105" i="6"/>
  <c r="BC106" i="6"/>
  <c r="BC107" i="6"/>
  <c r="BC108" i="6"/>
  <c r="BC109" i="6"/>
  <c r="BC110" i="6"/>
  <c r="BC111" i="6"/>
  <c r="BC112" i="6"/>
  <c r="BC113" i="6"/>
  <c r="BC114" i="6"/>
  <c r="BC115" i="6"/>
  <c r="AM178" i="6"/>
  <c r="AM179" i="6"/>
  <c r="AM180" i="6"/>
  <c r="AM181" i="6"/>
  <c r="AM182" i="6"/>
  <c r="AM183" i="6"/>
  <c r="AM184" i="6"/>
  <c r="AM185" i="6"/>
  <c r="AM186" i="6"/>
  <c r="BC177" i="6"/>
  <c r="BC178" i="6"/>
  <c r="BC179" i="6"/>
  <c r="BC180" i="6"/>
  <c r="BC181" i="6"/>
  <c r="BC182" i="6"/>
  <c r="BC183" i="6"/>
  <c r="BC184" i="6"/>
  <c r="BC185" i="6"/>
  <c r="BC186" i="6"/>
  <c r="BC187" i="6"/>
  <c r="AM226" i="6"/>
  <c r="AM227" i="6"/>
  <c r="AM228" i="6"/>
  <c r="AM229" i="6"/>
  <c r="AM230" i="6"/>
  <c r="AM231" i="6"/>
  <c r="AM232" i="6"/>
  <c r="AM233" i="6"/>
  <c r="AM234" i="6"/>
  <c r="BC225" i="6"/>
  <c r="BC226" i="6"/>
  <c r="BC227" i="6"/>
  <c r="BC228" i="6"/>
  <c r="BC229" i="6"/>
  <c r="BC230" i="6"/>
  <c r="BC231" i="6"/>
  <c r="BC232" i="6"/>
  <c r="BC233" i="6"/>
  <c r="BC234" i="6"/>
  <c r="BC235" i="6"/>
  <c r="AM262" i="6"/>
  <c r="AM263" i="6"/>
  <c r="AM264" i="6"/>
  <c r="AM265" i="6"/>
  <c r="AM266" i="6"/>
  <c r="AM267" i="6"/>
  <c r="AM268" i="6"/>
  <c r="AM269" i="6"/>
  <c r="AM270" i="6"/>
  <c r="BC261" i="6"/>
  <c r="BC262" i="6"/>
  <c r="BC263" i="6"/>
  <c r="BC264" i="6"/>
  <c r="BC265" i="6"/>
  <c r="BC266" i="6"/>
  <c r="BC267" i="6"/>
  <c r="BC268" i="6"/>
  <c r="BC269" i="6"/>
  <c r="BC270" i="6"/>
  <c r="BC271" i="6"/>
  <c r="AX297" i="6"/>
  <c r="AN23" i="6"/>
  <c r="AW23" i="6"/>
  <c r="AR22" i="6"/>
  <c r="AW189" i="6"/>
  <c r="BD225" i="6"/>
  <c r="AV141" i="6"/>
  <c r="AX226" i="6"/>
  <c r="AU225" i="6"/>
  <c r="AN82" i="6"/>
  <c r="AU82" i="6"/>
  <c r="AP237" i="6"/>
  <c r="AV81" i="6"/>
  <c r="AX9" i="6"/>
  <c r="BD129" i="6"/>
  <c r="AX93" i="6"/>
  <c r="AT249" i="6"/>
  <c r="AV249" i="6"/>
  <c r="AU249" i="6"/>
  <c r="AQ249" i="6"/>
  <c r="AQ201" i="6"/>
  <c r="AV201" i="6"/>
  <c r="AN202" i="6"/>
  <c r="AU202" i="6"/>
  <c r="BD201" i="6"/>
  <c r="AW153" i="6"/>
  <c r="AS153" i="6"/>
  <c r="BD153" i="6"/>
  <c r="AX153" i="6"/>
  <c r="AT33" i="6"/>
  <c r="AS33" i="6"/>
  <c r="AN34" i="6"/>
  <c r="AR34" i="6"/>
  <c r="AQ33" i="6"/>
  <c r="AX33" i="6"/>
  <c r="AR33" i="6"/>
  <c r="AX177" i="6"/>
  <c r="AV177" i="6"/>
  <c r="AU177" i="6"/>
  <c r="AQ177" i="6"/>
  <c r="AU273" i="6"/>
  <c r="AW273" i="6"/>
  <c r="AS273" i="6"/>
  <c r="AN274" i="6"/>
  <c r="AS274" i="6"/>
  <c r="BD105" i="6"/>
  <c r="AU105" i="6"/>
  <c r="AT117" i="6"/>
  <c r="AX47" i="6"/>
  <c r="AS9" i="6"/>
  <c r="AU129" i="6"/>
  <c r="AT21" i="6"/>
  <c r="AS21" i="6"/>
  <c r="AU21" i="6"/>
  <c r="AT22" i="6"/>
  <c r="AR189" i="6"/>
  <c r="AW22" i="6"/>
  <c r="AW45" i="6"/>
  <c r="AR165" i="6"/>
  <c r="AW69" i="6"/>
  <c r="AU47" i="6"/>
  <c r="AQ46" i="6"/>
  <c r="AW46" i="6"/>
  <c r="AR69" i="6"/>
  <c r="AT93" i="6"/>
  <c r="AQ21" i="6"/>
  <c r="AP21" i="6"/>
  <c r="AU141" i="6"/>
  <c r="AS22" i="6"/>
  <c r="AP165" i="6"/>
  <c r="AQ297" i="6"/>
  <c r="BD21" i="6"/>
  <c r="BD285" i="6"/>
  <c r="AW117" i="6"/>
  <c r="AV225" i="6"/>
  <c r="AV22" i="6"/>
  <c r="AT213" i="6"/>
  <c r="AP45" i="6"/>
  <c r="AS47" i="6"/>
  <c r="AT46" i="6"/>
  <c r="AT69" i="6"/>
  <c r="AP93" i="6"/>
  <c r="AU22" i="6"/>
  <c r="AQ45" i="6"/>
  <c r="AP22" i="6"/>
  <c r="AR225" i="6"/>
  <c r="BD22" i="6"/>
  <c r="AX22" i="6"/>
  <c r="AV21" i="6"/>
  <c r="AS141" i="6"/>
  <c r="AN10" i="6"/>
  <c r="AV10" i="6"/>
  <c r="AW9" i="6"/>
  <c r="BD9" i="6"/>
  <c r="AP9" i="6"/>
  <c r="AU9" i="6"/>
  <c r="AV261" i="6"/>
  <c r="BD261" i="6"/>
  <c r="AT225" i="6"/>
  <c r="AS129" i="6"/>
  <c r="AT129" i="6"/>
  <c r="AS45" i="6"/>
  <c r="BD46" i="6"/>
  <c r="AU46" i="6"/>
  <c r="AP261" i="6"/>
  <c r="AU261" i="6"/>
  <c r="BD69" i="6"/>
  <c r="AV69" i="6"/>
  <c r="AX45" i="6"/>
  <c r="BD249" i="6"/>
  <c r="AP249" i="6"/>
  <c r="AN190" i="6"/>
  <c r="AR190" i="6"/>
  <c r="AP189" i="6"/>
  <c r="AT153" i="6"/>
  <c r="AU153" i="6"/>
  <c r="AW93" i="6"/>
  <c r="AN70" i="6"/>
  <c r="AR70" i="6"/>
  <c r="AX69" i="6"/>
  <c r="AU69" i="6"/>
  <c r="AP69" i="6"/>
  <c r="AQ47" i="6"/>
  <c r="AV47" i="6"/>
  <c r="AR46" i="6"/>
  <c r="BD47" i="6"/>
  <c r="AP47" i="6"/>
  <c r="AN48" i="6"/>
  <c r="BD48" i="6"/>
  <c r="AX46" i="6"/>
  <c r="AS69" i="6"/>
  <c r="AQ69" i="6"/>
  <c r="AR47" i="6"/>
  <c r="AW47" i="6"/>
  <c r="AP46" i="6"/>
  <c r="AS46" i="6"/>
  <c r="AV46" i="6"/>
  <c r="AT9" i="6"/>
  <c r="AR9" i="6"/>
  <c r="AP129" i="6"/>
  <c r="AP225" i="6"/>
  <c r="AV9" i="6"/>
  <c r="AX273" i="6"/>
  <c r="AP273" i="6"/>
  <c r="AX213" i="6"/>
  <c r="AW177" i="6"/>
  <c r="AS177" i="6"/>
  <c r="AT81" i="6"/>
  <c r="BD45" i="6"/>
  <c r="AT45" i="6"/>
  <c r="AV45" i="6"/>
  <c r="AU226" i="6"/>
  <c r="AV226" i="6"/>
  <c r="AR237" i="6"/>
  <c r="AW201" i="6"/>
  <c r="AT201" i="6"/>
  <c r="AQ105" i="6"/>
  <c r="AV33" i="6"/>
  <c r="AW33" i="6"/>
  <c r="BD33" i="6"/>
  <c r="AP33" i="6"/>
  <c r="AU33" i="6"/>
  <c r="AP57" i="6"/>
  <c r="AX57" i="6"/>
  <c r="AU57" i="6"/>
  <c r="BD57" i="6"/>
  <c r="AR57" i="6"/>
  <c r="BD273" i="6"/>
  <c r="AT273" i="6"/>
  <c r="AQ273" i="6"/>
  <c r="AV273" i="6"/>
  <c r="AR273" i="6"/>
  <c r="AX249" i="6"/>
  <c r="AS249" i="6"/>
  <c r="AW249" i="6"/>
  <c r="AN250" i="6"/>
  <c r="AR249" i="6"/>
  <c r="AX225" i="6"/>
  <c r="AS225" i="6"/>
  <c r="AW225" i="6"/>
  <c r="AQ225" i="6"/>
  <c r="AX201" i="6"/>
  <c r="AS201" i="6"/>
  <c r="AP201" i="6"/>
  <c r="AU201" i="6"/>
  <c r="AR201" i="6"/>
  <c r="AR177" i="6"/>
  <c r="AT177" i="6"/>
  <c r="BD177" i="6"/>
  <c r="AN178" i="6"/>
  <c r="AP177" i="6"/>
  <c r="AV153" i="6"/>
  <c r="AP153" i="6"/>
  <c r="AR153" i="6"/>
  <c r="AQ153" i="6"/>
  <c r="AN154" i="6"/>
  <c r="BD154" i="6"/>
  <c r="AX129" i="6"/>
  <c r="AV129" i="6"/>
  <c r="AR129" i="6"/>
  <c r="AW129" i="6"/>
  <c r="AN130" i="6"/>
  <c r="BD130" i="6"/>
  <c r="AQ129" i="6"/>
  <c r="AW105" i="6"/>
  <c r="AX105" i="6"/>
  <c r="AT105" i="6"/>
  <c r="AR105" i="6"/>
  <c r="AN106" i="6"/>
  <c r="AV105" i="6"/>
  <c r="AP105" i="6"/>
  <c r="AS105" i="6"/>
  <c r="AX81" i="6"/>
  <c r="BD81" i="6"/>
  <c r="AW81" i="6"/>
  <c r="AS81" i="6"/>
  <c r="AQ81" i="6"/>
  <c r="AP81" i="6"/>
  <c r="AU81" i="6"/>
  <c r="AR226" i="6"/>
  <c r="AW226" i="6"/>
  <c r="AT226" i="6"/>
  <c r="AP226" i="6"/>
  <c r="BD226" i="6"/>
  <c r="AQ226" i="6"/>
  <c r="AS226" i="6"/>
  <c r="AN227" i="6"/>
  <c r="AX227" i="6"/>
  <c r="AW57" i="6"/>
  <c r="AT57" i="6"/>
  <c r="AS57" i="6"/>
  <c r="AN58" i="6"/>
  <c r="AV57" i="6"/>
  <c r="AQ57" i="6"/>
  <c r="BD118" i="6"/>
  <c r="AR118" i="6"/>
  <c r="AP118" i="6"/>
  <c r="AV118" i="6"/>
  <c r="AU118" i="6"/>
  <c r="AN119" i="6"/>
  <c r="AW118" i="6"/>
  <c r="AS118" i="6"/>
  <c r="AX118" i="6"/>
  <c r="AT118" i="6"/>
  <c r="AQ118" i="6"/>
  <c r="AW297" i="6"/>
  <c r="AT297" i="6"/>
  <c r="AU297" i="6"/>
  <c r="AS297" i="6"/>
  <c r="BD297" i="6"/>
  <c r="AP297" i="6"/>
  <c r="AN298" i="6"/>
  <c r="AV297" i="6"/>
  <c r="AR297" i="6"/>
  <c r="AT285" i="6"/>
  <c r="AV285" i="6"/>
  <c r="AX285" i="6"/>
  <c r="AR285" i="6"/>
  <c r="AP285" i="6"/>
  <c r="AN286" i="6"/>
  <c r="AW285" i="6"/>
  <c r="AU285" i="6"/>
  <c r="AN262" i="6"/>
  <c r="AX261" i="6"/>
  <c r="AS261" i="6"/>
  <c r="AW261" i="6"/>
  <c r="AQ261" i="6"/>
  <c r="AR261" i="6"/>
  <c r="AV237" i="6"/>
  <c r="AT237" i="6"/>
  <c r="AW237" i="6"/>
  <c r="AX237" i="6"/>
  <c r="AU237" i="6"/>
  <c r="AN238" i="6"/>
  <c r="BD237" i="6"/>
  <c r="AS237" i="6"/>
  <c r="AQ237" i="6"/>
  <c r="AV213" i="6"/>
  <c r="BD213" i="6"/>
  <c r="AW213" i="6"/>
  <c r="AN214" i="6"/>
  <c r="AU213" i="6"/>
  <c r="AR213" i="6"/>
  <c r="AQ213" i="6"/>
  <c r="AS213" i="6"/>
  <c r="BD189" i="6"/>
  <c r="AS189" i="6"/>
  <c r="AT189" i="6"/>
  <c r="AV189" i="6"/>
  <c r="AU189" i="6"/>
  <c r="AX189" i="6"/>
  <c r="AQ189" i="6"/>
  <c r="BD165" i="6"/>
  <c r="AT165" i="6"/>
  <c r="AV165" i="6"/>
  <c r="AW165" i="6"/>
  <c r="AX165" i="6"/>
  <c r="AN166" i="6"/>
  <c r="AU165" i="6"/>
  <c r="AS165" i="6"/>
  <c r="AQ165" i="6"/>
  <c r="AN142" i="6"/>
  <c r="AQ141" i="6"/>
  <c r="AR141" i="6"/>
  <c r="AT141" i="6"/>
  <c r="AW141" i="6"/>
  <c r="BD141" i="6"/>
  <c r="AP141" i="6"/>
  <c r="AV117" i="6"/>
  <c r="AP117" i="6"/>
  <c r="AU117" i="6"/>
  <c r="AS117" i="6"/>
  <c r="BD117" i="6"/>
  <c r="AQ117" i="6"/>
  <c r="AR117" i="6"/>
  <c r="AN94" i="6"/>
  <c r="AR93" i="6"/>
  <c r="AV93" i="6"/>
  <c r="AQ93" i="6"/>
  <c r="AS93" i="6"/>
  <c r="BD93" i="6"/>
  <c r="AU93" i="6"/>
  <c r="BD82" i="6"/>
  <c r="AR202" i="6"/>
  <c r="AT34" i="6"/>
  <c r="AN83" i="6"/>
  <c r="AT83" i="6"/>
  <c r="AS82" i="6"/>
  <c r="AX82" i="6"/>
  <c r="AN35" i="6"/>
  <c r="AU35" i="6"/>
  <c r="AR82" i="6"/>
  <c r="BB8" i="6"/>
  <c r="BB9" i="6"/>
  <c r="BB10" i="6"/>
  <c r="BB11" i="6"/>
  <c r="BB12" i="6"/>
  <c r="BB13" i="6"/>
  <c r="BB14" i="6"/>
  <c r="BB15" i="6"/>
  <c r="BB16" i="6"/>
  <c r="BB17" i="6"/>
  <c r="BB18" i="6"/>
  <c r="BB19" i="6"/>
  <c r="AX48" i="6"/>
  <c r="AQ82" i="6"/>
  <c r="AP23" i="6"/>
  <c r="BD202" i="6"/>
  <c r="AS48" i="6"/>
  <c r="AW82" i="6"/>
  <c r="AU23" i="6"/>
  <c r="AV202" i="6"/>
  <c r="AQ202" i="6"/>
  <c r="AT23" i="6"/>
  <c r="AV23" i="6"/>
  <c r="AU48" i="6"/>
  <c r="AV82" i="6"/>
  <c r="AP82" i="6"/>
  <c r="AR23" i="6"/>
  <c r="AT202" i="6"/>
  <c r="AW202" i="6"/>
  <c r="AS202" i="6"/>
  <c r="AT82" i="6"/>
  <c r="AQ23" i="6"/>
  <c r="BB104" i="6"/>
  <c r="BB105" i="6"/>
  <c r="BB106" i="6"/>
  <c r="BB107" i="6"/>
  <c r="BB108" i="6"/>
  <c r="BB109" i="6"/>
  <c r="BB110" i="6"/>
  <c r="BB111" i="6"/>
  <c r="BB112" i="6"/>
  <c r="BB113" i="6"/>
  <c r="BB114" i="6"/>
  <c r="BB115" i="6"/>
  <c r="BB152" i="6"/>
  <c r="BB153" i="6"/>
  <c r="BB154" i="6"/>
  <c r="BB155" i="6"/>
  <c r="BB156" i="6"/>
  <c r="BB157" i="6"/>
  <c r="BB158" i="6"/>
  <c r="BB159" i="6"/>
  <c r="BB160" i="6"/>
  <c r="BB161" i="6"/>
  <c r="BB162" i="6"/>
  <c r="BB163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212" i="6"/>
  <c r="BB213" i="6"/>
  <c r="BB214" i="6"/>
  <c r="BB215" i="6"/>
  <c r="BB216" i="6"/>
  <c r="BB217" i="6"/>
  <c r="BB218" i="6"/>
  <c r="BB219" i="6"/>
  <c r="BB220" i="6"/>
  <c r="BB221" i="6"/>
  <c r="BB222" i="6"/>
  <c r="BB223" i="6"/>
  <c r="BB200" i="6"/>
  <c r="BB201" i="6"/>
  <c r="BB202" i="6"/>
  <c r="BB203" i="6"/>
  <c r="BB204" i="6"/>
  <c r="BB205" i="6"/>
  <c r="BB206" i="6"/>
  <c r="BB207" i="6"/>
  <c r="BB208" i="6"/>
  <c r="BB209" i="6"/>
  <c r="BB210" i="6"/>
  <c r="BB211" i="6"/>
  <c r="BB248" i="6"/>
  <c r="BB249" i="6"/>
  <c r="BB250" i="6"/>
  <c r="BB251" i="6"/>
  <c r="BB252" i="6"/>
  <c r="BB253" i="6"/>
  <c r="BB254" i="6"/>
  <c r="BB255" i="6"/>
  <c r="BB256" i="6"/>
  <c r="BB257" i="6"/>
  <c r="BB258" i="6"/>
  <c r="BB259" i="6"/>
  <c r="BB164" i="6"/>
  <c r="BB165" i="6"/>
  <c r="BB166" i="6"/>
  <c r="BB167" i="6"/>
  <c r="BB168" i="6"/>
  <c r="BB169" i="6"/>
  <c r="BB170" i="6"/>
  <c r="BB171" i="6"/>
  <c r="BB172" i="6"/>
  <c r="BB173" i="6"/>
  <c r="BB174" i="6"/>
  <c r="BB175" i="6"/>
  <c r="BD23" i="6"/>
  <c r="AX23" i="6"/>
  <c r="BB176" i="6"/>
  <c r="BB177" i="6"/>
  <c r="BB178" i="6"/>
  <c r="BB179" i="6"/>
  <c r="BB180" i="6"/>
  <c r="BB181" i="6"/>
  <c r="BB182" i="6"/>
  <c r="BB183" i="6"/>
  <c r="BB184" i="6"/>
  <c r="BB185" i="6"/>
  <c r="BB186" i="6"/>
  <c r="BB187" i="6"/>
  <c r="BB32" i="6"/>
  <c r="BB33" i="6"/>
  <c r="BB34" i="6"/>
  <c r="BB35" i="6"/>
  <c r="BB36" i="6"/>
  <c r="BB37" i="6"/>
  <c r="BB38" i="6"/>
  <c r="BB39" i="6"/>
  <c r="BB40" i="6"/>
  <c r="BB41" i="6"/>
  <c r="BB42" i="6"/>
  <c r="BB43" i="6"/>
  <c r="BB224" i="6"/>
  <c r="BB225" i="6"/>
  <c r="BB226" i="6"/>
  <c r="BB227" i="6"/>
  <c r="BB228" i="6"/>
  <c r="BB229" i="6"/>
  <c r="BB230" i="6"/>
  <c r="BB231" i="6"/>
  <c r="BB232" i="6"/>
  <c r="BB233" i="6"/>
  <c r="BB234" i="6"/>
  <c r="BB235" i="6"/>
  <c r="BB56" i="6"/>
  <c r="BB57" i="6"/>
  <c r="BB58" i="6"/>
  <c r="BB59" i="6"/>
  <c r="BB60" i="6"/>
  <c r="BB61" i="6"/>
  <c r="BB62" i="6"/>
  <c r="BB63" i="6"/>
  <c r="BB64" i="6"/>
  <c r="BB65" i="6"/>
  <c r="BB66" i="6"/>
  <c r="BB67" i="6"/>
  <c r="BB68" i="6"/>
  <c r="BB69" i="6"/>
  <c r="BB70" i="6"/>
  <c r="BB71" i="6"/>
  <c r="BB72" i="6"/>
  <c r="BB73" i="6"/>
  <c r="BB74" i="6"/>
  <c r="BB75" i="6"/>
  <c r="BB76" i="6"/>
  <c r="BB77" i="6"/>
  <c r="BB78" i="6"/>
  <c r="BB79" i="6"/>
  <c r="BB92" i="6"/>
  <c r="BB93" i="6"/>
  <c r="BB94" i="6"/>
  <c r="BB95" i="6"/>
  <c r="BB96" i="6"/>
  <c r="BB97" i="6"/>
  <c r="BB98" i="6"/>
  <c r="BB99" i="6"/>
  <c r="BB100" i="6"/>
  <c r="BB101" i="6"/>
  <c r="BB102" i="6"/>
  <c r="BB103" i="6"/>
  <c r="BB44" i="6"/>
  <c r="BB45" i="6"/>
  <c r="BB46" i="6"/>
  <c r="BB47" i="6"/>
  <c r="BB48" i="6"/>
  <c r="BB49" i="6"/>
  <c r="BB50" i="6"/>
  <c r="BB51" i="6"/>
  <c r="BB52" i="6"/>
  <c r="BB53" i="6"/>
  <c r="BB54" i="6"/>
  <c r="BB55" i="6"/>
  <c r="BB140" i="6"/>
  <c r="BB141" i="6"/>
  <c r="BB142" i="6"/>
  <c r="BB143" i="6"/>
  <c r="BB144" i="6"/>
  <c r="BB145" i="6"/>
  <c r="BB146" i="6"/>
  <c r="BB147" i="6"/>
  <c r="BB148" i="6"/>
  <c r="BB149" i="6"/>
  <c r="BB150" i="6"/>
  <c r="BB151" i="6"/>
  <c r="BB80" i="6"/>
  <c r="BB81" i="6"/>
  <c r="BB82" i="6"/>
  <c r="BB83" i="6"/>
  <c r="BB84" i="6"/>
  <c r="BB85" i="6"/>
  <c r="BB86" i="6"/>
  <c r="BB87" i="6"/>
  <c r="BB88" i="6"/>
  <c r="BB89" i="6"/>
  <c r="BB90" i="6"/>
  <c r="BB91" i="6"/>
  <c r="BB236" i="6"/>
  <c r="BB237" i="6"/>
  <c r="BB238" i="6"/>
  <c r="BB239" i="6"/>
  <c r="BB240" i="6"/>
  <c r="BB241" i="6"/>
  <c r="BB242" i="6"/>
  <c r="BB243" i="6"/>
  <c r="BB244" i="6"/>
  <c r="BB245" i="6"/>
  <c r="BB246" i="6"/>
  <c r="BB247" i="6"/>
  <c r="BB284" i="6"/>
  <c r="BB285" i="6"/>
  <c r="BB286" i="6"/>
  <c r="BB287" i="6"/>
  <c r="BB288" i="6"/>
  <c r="BB289" i="6"/>
  <c r="BB290" i="6"/>
  <c r="BB291" i="6"/>
  <c r="BB292" i="6"/>
  <c r="BB293" i="6"/>
  <c r="BB294" i="6"/>
  <c r="BB295" i="6"/>
  <c r="BB296" i="6"/>
  <c r="BB297" i="6"/>
  <c r="BB298" i="6"/>
  <c r="BB299" i="6"/>
  <c r="BB300" i="6"/>
  <c r="BB301" i="6"/>
  <c r="BB302" i="6"/>
  <c r="BB303" i="6"/>
  <c r="BB304" i="6"/>
  <c r="BB305" i="6"/>
  <c r="BB306" i="6"/>
  <c r="AP227" i="6"/>
  <c r="BB116" i="6"/>
  <c r="BB117" i="6"/>
  <c r="BB118" i="6"/>
  <c r="BB119" i="6"/>
  <c r="BB120" i="6"/>
  <c r="BB121" i="6"/>
  <c r="BB122" i="6"/>
  <c r="BB123" i="6"/>
  <c r="BB124" i="6"/>
  <c r="BB125" i="6"/>
  <c r="BB126" i="6"/>
  <c r="BB127" i="6"/>
  <c r="AN24" i="6"/>
  <c r="AV24" i="6"/>
  <c r="AS23" i="6"/>
  <c r="AT190" i="6"/>
  <c r="BB272" i="6"/>
  <c r="BB273" i="6"/>
  <c r="BB274" i="6"/>
  <c r="BB275" i="6"/>
  <c r="BB276" i="6"/>
  <c r="BB277" i="6"/>
  <c r="BB278" i="6"/>
  <c r="BB279" i="6"/>
  <c r="BB280" i="6"/>
  <c r="BB281" i="6"/>
  <c r="BB282" i="6"/>
  <c r="BB283" i="6"/>
  <c r="BB128" i="6"/>
  <c r="BB129" i="6"/>
  <c r="BB130" i="6"/>
  <c r="BB131" i="6"/>
  <c r="BB132" i="6"/>
  <c r="BB133" i="6"/>
  <c r="BB134" i="6"/>
  <c r="BB135" i="6"/>
  <c r="BB136" i="6"/>
  <c r="BB137" i="6"/>
  <c r="BB138" i="6"/>
  <c r="BB139" i="6"/>
  <c r="BB188" i="6"/>
  <c r="BB189" i="6"/>
  <c r="BB190" i="6"/>
  <c r="BB191" i="6"/>
  <c r="BB192" i="6"/>
  <c r="BB193" i="6"/>
  <c r="BB194" i="6"/>
  <c r="BB195" i="6"/>
  <c r="BB196" i="6"/>
  <c r="BB197" i="6"/>
  <c r="BB198" i="6"/>
  <c r="BB199" i="6"/>
  <c r="BB260" i="6"/>
  <c r="BB261" i="6"/>
  <c r="BB262" i="6"/>
  <c r="BB263" i="6"/>
  <c r="BB264" i="6"/>
  <c r="BB265" i="6"/>
  <c r="BB266" i="6"/>
  <c r="BB267" i="6"/>
  <c r="BB268" i="6"/>
  <c r="BB269" i="6"/>
  <c r="BB270" i="6"/>
  <c r="BB271" i="6"/>
  <c r="AV70" i="6"/>
  <c r="AQ10" i="6"/>
  <c r="AR274" i="6"/>
  <c r="AP70" i="6"/>
  <c r="AU10" i="6"/>
  <c r="AP274" i="6"/>
  <c r="BD274" i="6"/>
  <c r="AR10" i="6"/>
  <c r="AN71" i="6"/>
  <c r="AR71" i="6"/>
  <c r="AX70" i="6"/>
  <c r="AV190" i="6"/>
  <c r="AW10" i="6"/>
  <c r="AX10" i="6"/>
  <c r="AV274" i="6"/>
  <c r="AW274" i="6"/>
  <c r="AU274" i="6"/>
  <c r="AX274" i="6"/>
  <c r="AS227" i="6"/>
  <c r="AS70" i="6"/>
  <c r="BD10" i="6"/>
  <c r="AN275" i="6"/>
  <c r="AP275" i="6"/>
  <c r="AT227" i="6"/>
  <c r="AQ70" i="6"/>
  <c r="AT10" i="6"/>
  <c r="AT274" i="6"/>
  <c r="AQ274" i="6"/>
  <c r="AV34" i="6"/>
  <c r="AU34" i="6"/>
  <c r="AW34" i="6"/>
  <c r="BD34" i="6"/>
  <c r="AP34" i="6"/>
  <c r="AX34" i="6"/>
  <c r="AS34" i="6"/>
  <c r="AQ34" i="6"/>
  <c r="AN203" i="6"/>
  <c r="AX202" i="6"/>
  <c r="AP202" i="6"/>
  <c r="AV154" i="6"/>
  <c r="AW190" i="6"/>
  <c r="AX190" i="6"/>
  <c r="AP190" i="6"/>
  <c r="AU190" i="6"/>
  <c r="AN191" i="6"/>
  <c r="AV191" i="6"/>
  <c r="AQ190" i="6"/>
  <c r="AQ48" i="6"/>
  <c r="AT48" i="6"/>
  <c r="AP48" i="6"/>
  <c r="AR48" i="6"/>
  <c r="AN49" i="6"/>
  <c r="AW48" i="6"/>
  <c r="AV48" i="6"/>
  <c r="BD190" i="6"/>
  <c r="AS190" i="6"/>
  <c r="AW70" i="6"/>
  <c r="AU70" i="6"/>
  <c r="BD70" i="6"/>
  <c r="AT70" i="6"/>
  <c r="AN11" i="6"/>
  <c r="AP10" i="6"/>
  <c r="AS10" i="6"/>
  <c r="AP106" i="6"/>
  <c r="AW106" i="6"/>
  <c r="AR106" i="6"/>
  <c r="AV106" i="6"/>
  <c r="AQ106" i="6"/>
  <c r="BD106" i="6"/>
  <c r="AN107" i="6"/>
  <c r="AX106" i="6"/>
  <c r="AT106" i="6"/>
  <c r="AU106" i="6"/>
  <c r="AS106" i="6"/>
  <c r="AQ227" i="6"/>
  <c r="AN228" i="6"/>
  <c r="AP228" i="6"/>
  <c r="AU227" i="6"/>
  <c r="AV130" i="6"/>
  <c r="AP130" i="6"/>
  <c r="AX130" i="6"/>
  <c r="AU130" i="6"/>
  <c r="AS130" i="6"/>
  <c r="AN131" i="6"/>
  <c r="AT130" i="6"/>
  <c r="AW130" i="6"/>
  <c r="AR130" i="6"/>
  <c r="AQ130" i="6"/>
  <c r="BD227" i="6"/>
  <c r="AV227" i="6"/>
  <c r="AV178" i="6"/>
  <c r="AT178" i="6"/>
  <c r="AU178" i="6"/>
  <c r="BD178" i="6"/>
  <c r="AP178" i="6"/>
  <c r="AQ178" i="6"/>
  <c r="AN179" i="6"/>
  <c r="AS178" i="6"/>
  <c r="AX178" i="6"/>
  <c r="AW178" i="6"/>
  <c r="AR178" i="6"/>
  <c r="AW227" i="6"/>
  <c r="AR227" i="6"/>
  <c r="AT58" i="6"/>
  <c r="AQ58" i="6"/>
  <c r="AW58" i="6"/>
  <c r="AU58" i="6"/>
  <c r="AV58" i="6"/>
  <c r="AR58" i="6"/>
  <c r="BD58" i="6"/>
  <c r="AX58" i="6"/>
  <c r="AP58" i="6"/>
  <c r="AN59" i="6"/>
  <c r="AS58" i="6"/>
  <c r="AN155" i="6"/>
  <c r="AW154" i="6"/>
  <c r="AQ154" i="6"/>
  <c r="AR154" i="6"/>
  <c r="AT154" i="6"/>
  <c r="AX154" i="6"/>
  <c r="AS154" i="6"/>
  <c r="AU154" i="6"/>
  <c r="AP154" i="6"/>
  <c r="AX250" i="6"/>
  <c r="AQ250" i="6"/>
  <c r="AW250" i="6"/>
  <c r="AT250" i="6"/>
  <c r="AV250" i="6"/>
  <c r="AU250" i="6"/>
  <c r="AN251" i="6"/>
  <c r="AS250" i="6"/>
  <c r="BD250" i="6"/>
  <c r="AR250" i="6"/>
  <c r="AP250" i="6"/>
  <c r="AV286" i="6"/>
  <c r="AP286" i="6"/>
  <c r="AQ286" i="6"/>
  <c r="BD286" i="6"/>
  <c r="AS286" i="6"/>
  <c r="AN287" i="6"/>
  <c r="AR286" i="6"/>
  <c r="AU286" i="6"/>
  <c r="AX286" i="6"/>
  <c r="AW286" i="6"/>
  <c r="AT286" i="6"/>
  <c r="AV262" i="6"/>
  <c r="AU262" i="6"/>
  <c r="AS262" i="6"/>
  <c r="BD262" i="6"/>
  <c r="AQ262" i="6"/>
  <c r="AN263" i="6"/>
  <c r="AX262" i="6"/>
  <c r="AR262" i="6"/>
  <c r="AT262" i="6"/>
  <c r="AP262" i="6"/>
  <c r="AW262" i="6"/>
  <c r="AP142" i="6"/>
  <c r="AV142" i="6"/>
  <c r="AR142" i="6"/>
  <c r="AN143" i="6"/>
  <c r="AT142" i="6"/>
  <c r="AX142" i="6"/>
  <c r="AQ142" i="6"/>
  <c r="AU142" i="6"/>
  <c r="AS142" i="6"/>
  <c r="BD142" i="6"/>
  <c r="AW142" i="6"/>
  <c r="AW166" i="6"/>
  <c r="AU166" i="6"/>
  <c r="AS166" i="6"/>
  <c r="AV166" i="6"/>
  <c r="AQ166" i="6"/>
  <c r="AR166" i="6"/>
  <c r="AN167" i="6"/>
  <c r="BD166" i="6"/>
  <c r="AX166" i="6"/>
  <c r="AT166" i="6"/>
  <c r="AP166" i="6"/>
  <c r="AX238" i="6"/>
  <c r="AT238" i="6"/>
  <c r="BD238" i="6"/>
  <c r="AP238" i="6"/>
  <c r="AW238" i="6"/>
  <c r="AS238" i="6"/>
  <c r="AV238" i="6"/>
  <c r="AR238" i="6"/>
  <c r="AU238" i="6"/>
  <c r="AQ238" i="6"/>
  <c r="AN239" i="6"/>
  <c r="AT119" i="6"/>
  <c r="AN120" i="6"/>
  <c r="AQ119" i="6"/>
  <c r="AS119" i="6"/>
  <c r="AR119" i="6"/>
  <c r="BD119" i="6"/>
  <c r="AU119" i="6"/>
  <c r="AP119" i="6"/>
  <c r="AW119" i="6"/>
  <c r="AV119" i="6"/>
  <c r="AX119" i="6"/>
  <c r="AR94" i="6"/>
  <c r="AX94" i="6"/>
  <c r="AS94" i="6"/>
  <c r="AW94" i="6"/>
  <c r="AQ94" i="6"/>
  <c r="AP94" i="6"/>
  <c r="AN95" i="6"/>
  <c r="AT94" i="6"/>
  <c r="AU94" i="6"/>
  <c r="BD94" i="6"/>
  <c r="AV94" i="6"/>
  <c r="AN299" i="6"/>
  <c r="AR298" i="6"/>
  <c r="AW298" i="6"/>
  <c r="AV298" i="6"/>
  <c r="AT298" i="6"/>
  <c r="BD298" i="6"/>
  <c r="AP298" i="6"/>
  <c r="AX298" i="6"/>
  <c r="AS298" i="6"/>
  <c r="AQ298" i="6"/>
  <c r="AU298" i="6"/>
  <c r="AX214" i="6"/>
  <c r="AP214" i="6"/>
  <c r="AQ214" i="6"/>
  <c r="AN215" i="6"/>
  <c r="AV214" i="6"/>
  <c r="AS214" i="6"/>
  <c r="BD214" i="6"/>
  <c r="AW214" i="6"/>
  <c r="AT214" i="6"/>
  <c r="AR214" i="6"/>
  <c r="AU214" i="6"/>
  <c r="AN229" i="6"/>
  <c r="AT35" i="6"/>
  <c r="AV35" i="6"/>
  <c r="AQ83" i="6"/>
  <c r="AN36" i="6"/>
  <c r="AP36" i="6"/>
  <c r="AS35" i="6"/>
  <c r="AP83" i="6"/>
  <c r="AQ35" i="6"/>
  <c r="BD35" i="6"/>
  <c r="AV83" i="6"/>
  <c r="AW83" i="6"/>
  <c r="AN84" i="6"/>
  <c r="BD84" i="6"/>
  <c r="AS83" i="6"/>
  <c r="AU83" i="6"/>
  <c r="AX83" i="6"/>
  <c r="BD83" i="6"/>
  <c r="AR83" i="6"/>
  <c r="AP35" i="6"/>
  <c r="AW35" i="6"/>
  <c r="AX35" i="6"/>
  <c r="AR35" i="6"/>
  <c r="BD24" i="6"/>
  <c r="AU24" i="6"/>
  <c r="AW24" i="6"/>
  <c r="AX24" i="6"/>
  <c r="AT24" i="6"/>
  <c r="AT191" i="6"/>
  <c r="AQ24" i="6"/>
  <c r="AP24" i="6"/>
  <c r="AS24" i="6"/>
  <c r="AP191" i="6"/>
  <c r="AN25" i="6"/>
  <c r="AX25" i="6"/>
  <c r="AR24" i="6"/>
  <c r="AS71" i="6"/>
  <c r="AX275" i="6"/>
  <c r="AX228" i="6"/>
  <c r="AW71" i="6"/>
  <c r="AU191" i="6"/>
  <c r="AS275" i="6"/>
  <c r="AU71" i="6"/>
  <c r="AN72" i="6"/>
  <c r="AT72" i="6"/>
  <c r="BD71" i="6"/>
  <c r="AP71" i="6"/>
  <c r="AV71" i="6"/>
  <c r="AT71" i="6"/>
  <c r="AQ275" i="6"/>
  <c r="AQ71" i="6"/>
  <c r="AX71" i="6"/>
  <c r="AR275" i="6"/>
  <c r="AT275" i="6"/>
  <c r="AW275" i="6"/>
  <c r="AN276" i="6"/>
  <c r="AV276" i="6"/>
  <c r="AV275" i="6"/>
  <c r="BD275" i="6"/>
  <c r="AU275" i="6"/>
  <c r="AW228" i="6"/>
  <c r="AR191" i="6"/>
  <c r="AN192" i="6"/>
  <c r="AT192" i="6"/>
  <c r="AW191" i="6"/>
  <c r="AS228" i="6"/>
  <c r="AS191" i="6"/>
  <c r="AX191" i="6"/>
  <c r="BD191" i="6"/>
  <c r="AQ228" i="6"/>
  <c r="AQ191" i="6"/>
  <c r="AT203" i="6"/>
  <c r="AS203" i="6"/>
  <c r="AR203" i="6"/>
  <c r="AP203" i="6"/>
  <c r="BD203" i="6"/>
  <c r="AQ203" i="6"/>
  <c r="AN204" i="6"/>
  <c r="AV203" i="6"/>
  <c r="AX203" i="6"/>
  <c r="AU203" i="6"/>
  <c r="AW203" i="6"/>
  <c r="AU49" i="6"/>
  <c r="AT49" i="6"/>
  <c r="AS49" i="6"/>
  <c r="AW49" i="6"/>
  <c r="AP49" i="6"/>
  <c r="AN50" i="6"/>
  <c r="AR49" i="6"/>
  <c r="AX49" i="6"/>
  <c r="BD49" i="6"/>
  <c r="AQ49" i="6"/>
  <c r="AV49" i="6"/>
  <c r="AW11" i="6"/>
  <c r="AP11" i="6"/>
  <c r="AV11" i="6"/>
  <c r="BD11" i="6"/>
  <c r="AX11" i="6"/>
  <c r="AS11" i="6"/>
  <c r="AQ11" i="6"/>
  <c r="AT11" i="6"/>
  <c r="AR11" i="6"/>
  <c r="AN12" i="6"/>
  <c r="AU11" i="6"/>
  <c r="AW107" i="6"/>
  <c r="AU107" i="6"/>
  <c r="AR107" i="6"/>
  <c r="AN108" i="6"/>
  <c r="AV107" i="6"/>
  <c r="AT107" i="6"/>
  <c r="BD107" i="6"/>
  <c r="AP107" i="6"/>
  <c r="AQ107" i="6"/>
  <c r="AX107" i="6"/>
  <c r="AS107" i="6"/>
  <c r="AS251" i="6"/>
  <c r="AN252" i="6"/>
  <c r="AX251" i="6"/>
  <c r="AR251" i="6"/>
  <c r="AV251" i="6"/>
  <c r="AQ251" i="6"/>
  <c r="AW251" i="6"/>
  <c r="AP251" i="6"/>
  <c r="AU251" i="6"/>
  <c r="AT251" i="6"/>
  <c r="BD251" i="6"/>
  <c r="AN132" i="6"/>
  <c r="AW131" i="6"/>
  <c r="AX131" i="6"/>
  <c r="AV131" i="6"/>
  <c r="AR131" i="6"/>
  <c r="AQ131" i="6"/>
  <c r="AP131" i="6"/>
  <c r="AS131" i="6"/>
  <c r="AT131" i="6"/>
  <c r="AU131" i="6"/>
  <c r="BD131" i="6"/>
  <c r="AR155" i="6"/>
  <c r="AS155" i="6"/>
  <c r="AW155" i="6"/>
  <c r="AV155" i="6"/>
  <c r="AP155" i="6"/>
  <c r="BD155" i="6"/>
  <c r="AQ155" i="6"/>
  <c r="AX155" i="6"/>
  <c r="AN156" i="6"/>
  <c r="AT155" i="6"/>
  <c r="AU155" i="6"/>
  <c r="AR228" i="6"/>
  <c r="AT228" i="6"/>
  <c r="AU228" i="6"/>
  <c r="AV228" i="6"/>
  <c r="BD228" i="6"/>
  <c r="AT59" i="6"/>
  <c r="BD59" i="6"/>
  <c r="AQ59" i="6"/>
  <c r="AV59" i="6"/>
  <c r="AP59" i="6"/>
  <c r="AN60" i="6"/>
  <c r="AX59" i="6"/>
  <c r="AU59" i="6"/>
  <c r="AR59" i="6"/>
  <c r="AW59" i="6"/>
  <c r="AS59" i="6"/>
  <c r="AR179" i="6"/>
  <c r="AT179" i="6"/>
  <c r="AU179" i="6"/>
  <c r="AP179" i="6"/>
  <c r="AX179" i="6"/>
  <c r="AQ179" i="6"/>
  <c r="BD179" i="6"/>
  <c r="AS179" i="6"/>
  <c r="AV179" i="6"/>
  <c r="AW179" i="6"/>
  <c r="AN180" i="6"/>
  <c r="AW143" i="6"/>
  <c r="AT143" i="6"/>
  <c r="AN144" i="6"/>
  <c r="AX143" i="6"/>
  <c r="AV143" i="6"/>
  <c r="BD143" i="6"/>
  <c r="AR143" i="6"/>
  <c r="AS143" i="6"/>
  <c r="AQ143" i="6"/>
  <c r="AU143" i="6"/>
  <c r="AP143" i="6"/>
  <c r="BD299" i="6"/>
  <c r="AR299" i="6"/>
  <c r="AP299" i="6"/>
  <c r="AX299" i="6"/>
  <c r="AU299" i="6"/>
  <c r="AN300" i="6"/>
  <c r="AT299" i="6"/>
  <c r="AW299" i="6"/>
  <c r="AV299" i="6"/>
  <c r="AS299" i="6"/>
  <c r="AQ299" i="6"/>
  <c r="AV95" i="6"/>
  <c r="AW95" i="6"/>
  <c r="AS95" i="6"/>
  <c r="AP95" i="6"/>
  <c r="AN96" i="6"/>
  <c r="AT95" i="6"/>
  <c r="AQ95" i="6"/>
  <c r="AR95" i="6"/>
  <c r="AX95" i="6"/>
  <c r="BD95" i="6"/>
  <c r="AU95" i="6"/>
  <c r="BD120" i="6"/>
  <c r="AS120" i="6"/>
  <c r="AU120" i="6"/>
  <c r="AX120" i="6"/>
  <c r="AR120" i="6"/>
  <c r="AT120" i="6"/>
  <c r="AW120" i="6"/>
  <c r="AQ120" i="6"/>
  <c r="AN121" i="6"/>
  <c r="AV120" i="6"/>
  <c r="AP120" i="6"/>
  <c r="AU167" i="6"/>
  <c r="AN168" i="6"/>
  <c r="AV167" i="6"/>
  <c r="AP167" i="6"/>
  <c r="BD167" i="6"/>
  <c r="AS167" i="6"/>
  <c r="AT167" i="6"/>
  <c r="AQ167" i="6"/>
  <c r="AR167" i="6"/>
  <c r="AW167" i="6"/>
  <c r="AX167" i="6"/>
  <c r="AQ287" i="6"/>
  <c r="AN288" i="6"/>
  <c r="AW287" i="6"/>
  <c r="AU287" i="6"/>
  <c r="AT287" i="6"/>
  <c r="BD287" i="6"/>
  <c r="AP287" i="6"/>
  <c r="AS287" i="6"/>
  <c r="AV287" i="6"/>
  <c r="AX287" i="6"/>
  <c r="AR287" i="6"/>
  <c r="AR215" i="6"/>
  <c r="AN216" i="6"/>
  <c r="AU215" i="6"/>
  <c r="AQ215" i="6"/>
  <c r="AW215" i="6"/>
  <c r="AT215" i="6"/>
  <c r="BD215" i="6"/>
  <c r="AS215" i="6"/>
  <c r="AP215" i="6"/>
  <c r="AX215" i="6"/>
  <c r="AV215" i="6"/>
  <c r="AR239" i="6"/>
  <c r="AQ239" i="6"/>
  <c r="BD239" i="6"/>
  <c r="AU239" i="6"/>
  <c r="AX239" i="6"/>
  <c r="AS239" i="6"/>
  <c r="AN240" i="6"/>
  <c r="AW239" i="6"/>
  <c r="AP239" i="6"/>
  <c r="AT239" i="6"/>
  <c r="AV239" i="6"/>
  <c r="AR263" i="6"/>
  <c r="AW263" i="6"/>
  <c r="AQ263" i="6"/>
  <c r="BD263" i="6"/>
  <c r="AT263" i="6"/>
  <c r="AU263" i="6"/>
  <c r="AV263" i="6"/>
  <c r="AS263" i="6"/>
  <c r="AP263" i="6"/>
  <c r="AN264" i="6"/>
  <c r="AX263" i="6"/>
  <c r="AT229" i="6"/>
  <c r="AR229" i="6"/>
  <c r="AP229" i="6"/>
  <c r="AN230" i="6"/>
  <c r="AW229" i="6"/>
  <c r="AV229" i="6"/>
  <c r="AS229" i="6"/>
  <c r="AU229" i="6"/>
  <c r="BD229" i="6"/>
  <c r="AQ229" i="6"/>
  <c r="AX229" i="6"/>
  <c r="AV84" i="6"/>
  <c r="AR84" i="6"/>
  <c r="AS84" i="6"/>
  <c r="AX84" i="6"/>
  <c r="AP84" i="6"/>
  <c r="AT84" i="6"/>
  <c r="AQ84" i="6"/>
  <c r="AN85" i="6"/>
  <c r="AP85" i="6"/>
  <c r="AW84" i="6"/>
  <c r="AU84" i="6"/>
  <c r="AR276" i="6"/>
  <c r="BD36" i="6"/>
  <c r="AX36" i="6"/>
  <c r="AN37" i="6"/>
  <c r="AN38" i="6"/>
  <c r="AS36" i="6"/>
  <c r="AU36" i="6"/>
  <c r="AT36" i="6"/>
  <c r="AV36" i="6"/>
  <c r="AR36" i="6"/>
  <c r="AW36" i="6"/>
  <c r="AQ36" i="6"/>
  <c r="AN26" i="6"/>
  <c r="BD26" i="6"/>
  <c r="AT25" i="6"/>
  <c r="AS25" i="6"/>
  <c r="AW25" i="6"/>
  <c r="BD25" i="6"/>
  <c r="AP25" i="6"/>
  <c r="AQ25" i="6"/>
  <c r="AR25" i="6"/>
  <c r="AV25" i="6"/>
  <c r="AU25" i="6"/>
  <c r="AR72" i="6"/>
  <c r="AQ72" i="6"/>
  <c r="AN277" i="6"/>
  <c r="AS277" i="6"/>
  <c r="AS276" i="6"/>
  <c r="AN73" i="6"/>
  <c r="AU73" i="6"/>
  <c r="AV72" i="6"/>
  <c r="BD72" i="6"/>
  <c r="AQ276" i="6"/>
  <c r="AS192" i="6"/>
  <c r="AN193" i="6"/>
  <c r="BD193" i="6"/>
  <c r="AR192" i="6"/>
  <c r="AQ192" i="6"/>
  <c r="AP192" i="6"/>
  <c r="BD192" i="6"/>
  <c r="AU192" i="6"/>
  <c r="AX192" i="6"/>
  <c r="AU72" i="6"/>
  <c r="AP72" i="6"/>
  <c r="AX72" i="6"/>
  <c r="AV192" i="6"/>
  <c r="AW192" i="6"/>
  <c r="AS72" i="6"/>
  <c r="AW72" i="6"/>
  <c r="AX276" i="6"/>
  <c r="AW276" i="6"/>
  <c r="AU276" i="6"/>
  <c r="AP276" i="6"/>
  <c r="AT276" i="6"/>
  <c r="BD276" i="6"/>
  <c r="AQ204" i="6"/>
  <c r="AX204" i="6"/>
  <c r="AS204" i="6"/>
  <c r="AW204" i="6"/>
  <c r="AN205" i="6"/>
  <c r="AU204" i="6"/>
  <c r="AR204" i="6"/>
  <c r="AP204" i="6"/>
  <c r="AV204" i="6"/>
  <c r="BD204" i="6"/>
  <c r="AT204" i="6"/>
  <c r="AU12" i="6"/>
  <c r="AQ12" i="6"/>
  <c r="AP12" i="6"/>
  <c r="AS12" i="6"/>
  <c r="AR12" i="6"/>
  <c r="AT12" i="6"/>
  <c r="AX12" i="6"/>
  <c r="AW12" i="6"/>
  <c r="AN13" i="6"/>
  <c r="AV12" i="6"/>
  <c r="BD12" i="6"/>
  <c r="AW50" i="6"/>
  <c r="AV50" i="6"/>
  <c r="AT50" i="6"/>
  <c r="AX50" i="6"/>
  <c r="AP50" i="6"/>
  <c r="AS50" i="6"/>
  <c r="AQ50" i="6"/>
  <c r="AR50" i="6"/>
  <c r="AU50" i="6"/>
  <c r="BD50" i="6"/>
  <c r="AN51" i="6"/>
  <c r="AT156" i="6"/>
  <c r="AV156" i="6"/>
  <c r="AU156" i="6"/>
  <c r="BD156" i="6"/>
  <c r="AP156" i="6"/>
  <c r="AR156" i="6"/>
  <c r="AX156" i="6"/>
  <c r="AN157" i="6"/>
  <c r="AQ156" i="6"/>
  <c r="AW156" i="6"/>
  <c r="AS156" i="6"/>
  <c r="BD108" i="6"/>
  <c r="AW108" i="6"/>
  <c r="AR108" i="6"/>
  <c r="AS108" i="6"/>
  <c r="AX108" i="6"/>
  <c r="AU108" i="6"/>
  <c r="AP108" i="6"/>
  <c r="AV108" i="6"/>
  <c r="AN109" i="6"/>
  <c r="AQ108" i="6"/>
  <c r="AT108" i="6"/>
  <c r="AW252" i="6"/>
  <c r="AQ252" i="6"/>
  <c r="AN253" i="6"/>
  <c r="AX252" i="6"/>
  <c r="AT252" i="6"/>
  <c r="AP252" i="6"/>
  <c r="BD252" i="6"/>
  <c r="AR252" i="6"/>
  <c r="AU252" i="6"/>
  <c r="AS252" i="6"/>
  <c r="AV252" i="6"/>
  <c r="AX180" i="6"/>
  <c r="AS180" i="6"/>
  <c r="AQ180" i="6"/>
  <c r="AP180" i="6"/>
  <c r="AT180" i="6"/>
  <c r="AN181" i="6"/>
  <c r="AV180" i="6"/>
  <c r="AR180" i="6"/>
  <c r="AU180" i="6"/>
  <c r="AW180" i="6"/>
  <c r="BD180" i="6"/>
  <c r="AW60" i="6"/>
  <c r="AS60" i="6"/>
  <c r="AU60" i="6"/>
  <c r="AQ60" i="6"/>
  <c r="AT60" i="6"/>
  <c r="AV60" i="6"/>
  <c r="AN61" i="6"/>
  <c r="AX60" i="6"/>
  <c r="AR60" i="6"/>
  <c r="BD60" i="6"/>
  <c r="AP60" i="6"/>
  <c r="AV132" i="6"/>
  <c r="AX132" i="6"/>
  <c r="AN133" i="6"/>
  <c r="AQ132" i="6"/>
  <c r="AW132" i="6"/>
  <c r="AT132" i="6"/>
  <c r="AP132" i="6"/>
  <c r="BD132" i="6"/>
  <c r="AR132" i="6"/>
  <c r="AS132" i="6"/>
  <c r="AU132" i="6"/>
  <c r="BD85" i="6"/>
  <c r="AX216" i="6"/>
  <c r="AW216" i="6"/>
  <c r="AV216" i="6"/>
  <c r="AT216" i="6"/>
  <c r="AN217" i="6"/>
  <c r="AR216" i="6"/>
  <c r="AU216" i="6"/>
  <c r="BD216" i="6"/>
  <c r="AS216" i="6"/>
  <c r="AQ216" i="6"/>
  <c r="AP216" i="6"/>
  <c r="AU96" i="6"/>
  <c r="AN97" i="6"/>
  <c r="AV96" i="6"/>
  <c r="AS96" i="6"/>
  <c r="AX96" i="6"/>
  <c r="BD96" i="6"/>
  <c r="AW96" i="6"/>
  <c r="AQ96" i="6"/>
  <c r="AR96" i="6"/>
  <c r="AP96" i="6"/>
  <c r="AT96" i="6"/>
  <c r="BD144" i="6"/>
  <c r="AU144" i="6"/>
  <c r="AS144" i="6"/>
  <c r="AT144" i="6"/>
  <c r="AN145" i="6"/>
  <c r="AV144" i="6"/>
  <c r="AQ144" i="6"/>
  <c r="AX144" i="6"/>
  <c r="AW144" i="6"/>
  <c r="AR144" i="6"/>
  <c r="AP144" i="6"/>
  <c r="AT288" i="6"/>
  <c r="AV288" i="6"/>
  <c r="AR288" i="6"/>
  <c r="AU288" i="6"/>
  <c r="AN289" i="6"/>
  <c r="AX288" i="6"/>
  <c r="AS288" i="6"/>
  <c r="BD288" i="6"/>
  <c r="AP288" i="6"/>
  <c r="AQ288" i="6"/>
  <c r="AW288" i="6"/>
  <c r="AR240" i="6"/>
  <c r="AP240" i="6"/>
  <c r="AS240" i="6"/>
  <c r="AX240" i="6"/>
  <c r="AN241" i="6"/>
  <c r="AV240" i="6"/>
  <c r="AW240" i="6"/>
  <c r="AT240" i="6"/>
  <c r="AQ240" i="6"/>
  <c r="BD240" i="6"/>
  <c r="AU240" i="6"/>
  <c r="AV121" i="6"/>
  <c r="AU121" i="6"/>
  <c r="AR121" i="6"/>
  <c r="AS121" i="6"/>
  <c r="AQ121" i="6"/>
  <c r="AP121" i="6"/>
  <c r="BD121" i="6"/>
  <c r="AX121" i="6"/>
  <c r="AN122" i="6"/>
  <c r="AT121" i="6"/>
  <c r="AW121" i="6"/>
  <c r="AV264" i="6"/>
  <c r="AU264" i="6"/>
  <c r="AS264" i="6"/>
  <c r="BD264" i="6"/>
  <c r="AQ264" i="6"/>
  <c r="AX264" i="6"/>
  <c r="AT264" i="6"/>
  <c r="AW264" i="6"/>
  <c r="AP264" i="6"/>
  <c r="AN265" i="6"/>
  <c r="AR264" i="6"/>
  <c r="AW168" i="6"/>
  <c r="AS168" i="6"/>
  <c r="AX168" i="6"/>
  <c r="AU168" i="6"/>
  <c r="AN169" i="6"/>
  <c r="AV168" i="6"/>
  <c r="BD168" i="6"/>
  <c r="AQ168" i="6"/>
  <c r="AP168" i="6"/>
  <c r="AR168" i="6"/>
  <c r="AT168" i="6"/>
  <c r="BD300" i="6"/>
  <c r="AT300" i="6"/>
  <c r="AX300" i="6"/>
  <c r="AP300" i="6"/>
  <c r="AN301" i="6"/>
  <c r="AW300" i="6"/>
  <c r="AU300" i="6"/>
  <c r="AS300" i="6"/>
  <c r="AV300" i="6"/>
  <c r="AQ300" i="6"/>
  <c r="AR300" i="6"/>
  <c r="AW230" i="6"/>
  <c r="AN231" i="6"/>
  <c r="BD230" i="6"/>
  <c r="AV230" i="6"/>
  <c r="AS230" i="6"/>
  <c r="AT230" i="6"/>
  <c r="AQ230" i="6"/>
  <c r="AU230" i="6"/>
  <c r="AP230" i="6"/>
  <c r="AX230" i="6"/>
  <c r="AR230" i="6"/>
  <c r="AV85" i="6"/>
  <c r="AQ85" i="6"/>
  <c r="AN86" i="6"/>
  <c r="AT86" i="6"/>
  <c r="AR85" i="6"/>
  <c r="AX85" i="6"/>
  <c r="AU85" i="6"/>
  <c r="AW85" i="6"/>
  <c r="AT85" i="6"/>
  <c r="AS85" i="6"/>
  <c r="AV26" i="6"/>
  <c r="BD37" i="6"/>
  <c r="AP37" i="6"/>
  <c r="AS26" i="6"/>
  <c r="AP26" i="6"/>
  <c r="AW37" i="6"/>
  <c r="AS37" i="6"/>
  <c r="AR37" i="6"/>
  <c r="AT26" i="6"/>
  <c r="AU37" i="6"/>
  <c r="AX37" i="6"/>
  <c r="AT37" i="6"/>
  <c r="AX26" i="6"/>
  <c r="AV37" i="6"/>
  <c r="AQ37" i="6"/>
  <c r="AR73" i="6"/>
  <c r="AX277" i="6"/>
  <c r="AU277" i="6"/>
  <c r="AN27" i="6"/>
  <c r="AX27" i="6"/>
  <c r="AQ26" i="6"/>
  <c r="AR26" i="6"/>
  <c r="AW26" i="6"/>
  <c r="AU26" i="6"/>
  <c r="AV193" i="6"/>
  <c r="AR193" i="6"/>
  <c r="AN194" i="6"/>
  <c r="AQ194" i="6"/>
  <c r="AT193" i="6"/>
  <c r="AX193" i="6"/>
  <c r="AW193" i="6"/>
  <c r="AP193" i="6"/>
  <c r="AS193" i="6"/>
  <c r="AU193" i="6"/>
  <c r="AQ193" i="6"/>
  <c r="AN278" i="6"/>
  <c r="AT278" i="6"/>
  <c r="AT277" i="6"/>
  <c r="AV277" i="6"/>
  <c r="AR277" i="6"/>
  <c r="AW277" i="6"/>
  <c r="AS73" i="6"/>
  <c r="AN74" i="6"/>
  <c r="AT74" i="6"/>
  <c r="AX73" i="6"/>
  <c r="AP73" i="6"/>
  <c r="AQ277" i="6"/>
  <c r="BD277" i="6"/>
  <c r="AP277" i="6"/>
  <c r="BD73" i="6"/>
  <c r="AW73" i="6"/>
  <c r="AV73" i="6"/>
  <c r="AT73" i="6"/>
  <c r="AQ73" i="6"/>
  <c r="AX205" i="6"/>
  <c r="AN206" i="6"/>
  <c r="BD205" i="6"/>
  <c r="AQ205" i="6"/>
  <c r="AT205" i="6"/>
  <c r="AV205" i="6"/>
  <c r="AW205" i="6"/>
  <c r="AP205" i="6"/>
  <c r="AS205" i="6"/>
  <c r="AR205" i="6"/>
  <c r="AU205" i="6"/>
  <c r="AN39" i="6"/>
  <c r="BD38" i="6"/>
  <c r="AT38" i="6"/>
  <c r="AU38" i="6"/>
  <c r="AR38" i="6"/>
  <c r="AQ38" i="6"/>
  <c r="AS38" i="6"/>
  <c r="AP38" i="6"/>
  <c r="AW38" i="6"/>
  <c r="AX38" i="6"/>
  <c r="AV38" i="6"/>
  <c r="AV51" i="6"/>
  <c r="AR51" i="6"/>
  <c r="AS51" i="6"/>
  <c r="AW51" i="6"/>
  <c r="AX51" i="6"/>
  <c r="AQ51" i="6"/>
  <c r="AP51" i="6"/>
  <c r="BD51" i="6"/>
  <c r="AU51" i="6"/>
  <c r="AT51" i="6"/>
  <c r="AN52" i="6"/>
  <c r="AN14" i="6"/>
  <c r="AQ13" i="6"/>
  <c r="AX13" i="6"/>
  <c r="BD13" i="6"/>
  <c r="AP13" i="6"/>
  <c r="AT13" i="6"/>
  <c r="AW13" i="6"/>
  <c r="AR13" i="6"/>
  <c r="AV13" i="6"/>
  <c r="AU13" i="6"/>
  <c r="AS13" i="6"/>
  <c r="AU61" i="6"/>
  <c r="AT61" i="6"/>
  <c r="AN62" i="6"/>
  <c r="AS61" i="6"/>
  <c r="AP61" i="6"/>
  <c r="AV61" i="6"/>
  <c r="AW61" i="6"/>
  <c r="AQ61" i="6"/>
  <c r="BD61" i="6"/>
  <c r="AR61" i="6"/>
  <c r="AX61" i="6"/>
  <c r="AV181" i="6"/>
  <c r="AT181" i="6"/>
  <c r="BD181" i="6"/>
  <c r="AU181" i="6"/>
  <c r="AS181" i="6"/>
  <c r="AN182" i="6"/>
  <c r="AX181" i="6"/>
  <c r="AW181" i="6"/>
  <c r="AR181" i="6"/>
  <c r="AP181" i="6"/>
  <c r="AQ181" i="6"/>
  <c r="AQ133" i="6"/>
  <c r="AN134" i="6"/>
  <c r="BD133" i="6"/>
  <c r="AT133" i="6"/>
  <c r="AW133" i="6"/>
  <c r="AX133" i="6"/>
  <c r="AV133" i="6"/>
  <c r="AS133" i="6"/>
  <c r="AR133" i="6"/>
  <c r="AP133" i="6"/>
  <c r="AU133" i="6"/>
  <c r="AS109" i="6"/>
  <c r="AP109" i="6"/>
  <c r="AX109" i="6"/>
  <c r="AQ109" i="6"/>
  <c r="AV109" i="6"/>
  <c r="AT109" i="6"/>
  <c r="AW109" i="6"/>
  <c r="BD109" i="6"/>
  <c r="AN110" i="6"/>
  <c r="AU109" i="6"/>
  <c r="AR109" i="6"/>
  <c r="BD157" i="6"/>
  <c r="AU157" i="6"/>
  <c r="AV157" i="6"/>
  <c r="AP157" i="6"/>
  <c r="AX157" i="6"/>
  <c r="AN158" i="6"/>
  <c r="AW157" i="6"/>
  <c r="AT157" i="6"/>
  <c r="AQ157" i="6"/>
  <c r="AS157" i="6"/>
  <c r="AR157" i="6"/>
  <c r="AV253" i="6"/>
  <c r="AP253" i="6"/>
  <c r="AU253" i="6"/>
  <c r="AR253" i="6"/>
  <c r="AX253" i="6"/>
  <c r="AW253" i="6"/>
  <c r="AS253" i="6"/>
  <c r="AN254" i="6"/>
  <c r="BD253" i="6"/>
  <c r="AT253" i="6"/>
  <c r="AQ253" i="6"/>
  <c r="AX265" i="6"/>
  <c r="AT265" i="6"/>
  <c r="AU265" i="6"/>
  <c r="AW265" i="6"/>
  <c r="AP265" i="6"/>
  <c r="AQ265" i="6"/>
  <c r="BD265" i="6"/>
  <c r="AV265" i="6"/>
  <c r="AR265" i="6"/>
  <c r="AN266" i="6"/>
  <c r="AS265" i="6"/>
  <c r="BD122" i="6"/>
  <c r="AU122" i="6"/>
  <c r="AS122" i="6"/>
  <c r="AP122" i="6"/>
  <c r="AN123" i="6"/>
  <c r="AQ122" i="6"/>
  <c r="AV122" i="6"/>
  <c r="AT122" i="6"/>
  <c r="AW122" i="6"/>
  <c r="AR122" i="6"/>
  <c r="AX122" i="6"/>
  <c r="AX289" i="6"/>
  <c r="AU289" i="6"/>
  <c r="BD289" i="6"/>
  <c r="AQ289" i="6"/>
  <c r="AS289" i="6"/>
  <c r="AN290" i="6"/>
  <c r="AW289" i="6"/>
  <c r="AP289" i="6"/>
  <c r="AT289" i="6"/>
  <c r="AV289" i="6"/>
  <c r="AR289" i="6"/>
  <c r="AV86" i="6"/>
  <c r="AS86" i="6"/>
  <c r="AW86" i="6"/>
  <c r="AP86" i="6"/>
  <c r="AN87" i="6"/>
  <c r="AQ86" i="6"/>
  <c r="AU86" i="6"/>
  <c r="AR86" i="6"/>
  <c r="AX86" i="6"/>
  <c r="BD301" i="6"/>
  <c r="AV301" i="6"/>
  <c r="AU301" i="6"/>
  <c r="AN302" i="6"/>
  <c r="AX301" i="6"/>
  <c r="AQ301" i="6"/>
  <c r="AS301" i="6"/>
  <c r="AT301" i="6"/>
  <c r="AP301" i="6"/>
  <c r="AR301" i="6"/>
  <c r="AW301" i="6"/>
  <c r="AR241" i="6"/>
  <c r="AW241" i="6"/>
  <c r="AX241" i="6"/>
  <c r="AS241" i="6"/>
  <c r="AV241" i="6"/>
  <c r="AU241" i="6"/>
  <c r="AT241" i="6"/>
  <c r="AQ241" i="6"/>
  <c r="AN242" i="6"/>
  <c r="AP241" i="6"/>
  <c r="BD241" i="6"/>
  <c r="AX97" i="6"/>
  <c r="AW97" i="6"/>
  <c r="AR97" i="6"/>
  <c r="AS97" i="6"/>
  <c r="AV97" i="6"/>
  <c r="AP97" i="6"/>
  <c r="AQ97" i="6"/>
  <c r="AU97" i="6"/>
  <c r="AN98" i="6"/>
  <c r="BD97" i="6"/>
  <c r="AT97" i="6"/>
  <c r="AP217" i="6"/>
  <c r="AV217" i="6"/>
  <c r="AU217" i="6"/>
  <c r="AX217" i="6"/>
  <c r="AR217" i="6"/>
  <c r="AT217" i="6"/>
  <c r="AN218" i="6"/>
  <c r="BD217" i="6"/>
  <c r="AQ217" i="6"/>
  <c r="AW217" i="6"/>
  <c r="AS217" i="6"/>
  <c r="AV145" i="6"/>
  <c r="AN146" i="6"/>
  <c r="AR145" i="6"/>
  <c r="AP145" i="6"/>
  <c r="AX145" i="6"/>
  <c r="AU145" i="6"/>
  <c r="BD145" i="6"/>
  <c r="AW145" i="6"/>
  <c r="AS145" i="6"/>
  <c r="AT145" i="6"/>
  <c r="AQ145" i="6"/>
  <c r="AW169" i="6"/>
  <c r="AS169" i="6"/>
  <c r="AQ169" i="6"/>
  <c r="AU169" i="6"/>
  <c r="BD169" i="6"/>
  <c r="AV169" i="6"/>
  <c r="AP169" i="6"/>
  <c r="AX169" i="6"/>
  <c r="AN170" i="6"/>
  <c r="AR169" i="6"/>
  <c r="AT169" i="6"/>
  <c r="BD231" i="6"/>
  <c r="AX231" i="6"/>
  <c r="AS231" i="6"/>
  <c r="AP231" i="6"/>
  <c r="AT231" i="6"/>
  <c r="AR231" i="6"/>
  <c r="AW231" i="6"/>
  <c r="AV231" i="6"/>
  <c r="AN232" i="6"/>
  <c r="AU231" i="6"/>
  <c r="AQ231" i="6"/>
  <c r="BD86" i="6"/>
  <c r="BD27" i="6"/>
  <c r="AT27" i="6"/>
  <c r="AN28" i="6"/>
  <c r="AW28" i="6"/>
  <c r="AR27" i="6"/>
  <c r="AS27" i="6"/>
  <c r="AW27" i="6"/>
  <c r="AQ27" i="6"/>
  <c r="AP27" i="6"/>
  <c r="AV27" i="6"/>
  <c r="AU27" i="6"/>
  <c r="AQ74" i="6"/>
  <c r="AV278" i="6"/>
  <c r="AP194" i="6"/>
  <c r="AX194" i="6"/>
  <c r="AS194" i="6"/>
  <c r="AW194" i="6"/>
  <c r="AT194" i="6"/>
  <c r="AU194" i="6"/>
  <c r="AV194" i="6"/>
  <c r="AN195" i="6"/>
  <c r="AT195" i="6"/>
  <c r="BD194" i="6"/>
  <c r="AR194" i="6"/>
  <c r="AX278" i="6"/>
  <c r="BD278" i="6"/>
  <c r="AR278" i="6"/>
  <c r="AW278" i="6"/>
  <c r="AP278" i="6"/>
  <c r="AS278" i="6"/>
  <c r="AV74" i="6"/>
  <c r="AU278" i="6"/>
  <c r="AN279" i="6"/>
  <c r="AQ278" i="6"/>
  <c r="AR74" i="6"/>
  <c r="BD74" i="6"/>
  <c r="AW74" i="6"/>
  <c r="AU74" i="6"/>
  <c r="AX74" i="6"/>
  <c r="AP74" i="6"/>
  <c r="AS74" i="6"/>
  <c r="AN75" i="6"/>
  <c r="AN76" i="6"/>
  <c r="AR206" i="6"/>
  <c r="AN207" i="6"/>
  <c r="AW206" i="6"/>
  <c r="AX206" i="6"/>
  <c r="AT206" i="6"/>
  <c r="AP206" i="6"/>
  <c r="BD206" i="6"/>
  <c r="AV206" i="6"/>
  <c r="AS206" i="6"/>
  <c r="AQ206" i="6"/>
  <c r="AU206" i="6"/>
  <c r="AS14" i="6"/>
  <c r="AR14" i="6"/>
  <c r="AP14" i="6"/>
  <c r="AW14" i="6"/>
  <c r="AQ14" i="6"/>
  <c r="BD14" i="6"/>
  <c r="AU14" i="6"/>
  <c r="AX14" i="6"/>
  <c r="AT14" i="6"/>
  <c r="AN15" i="6"/>
  <c r="AV14" i="6"/>
  <c r="AN53" i="6"/>
  <c r="AS52" i="6"/>
  <c r="AX52" i="6"/>
  <c r="AV52" i="6"/>
  <c r="AW52" i="6"/>
  <c r="AU52" i="6"/>
  <c r="AQ52" i="6"/>
  <c r="AP52" i="6"/>
  <c r="AR52" i="6"/>
  <c r="BD52" i="6"/>
  <c r="AT52" i="6"/>
  <c r="BD39" i="6"/>
  <c r="AS39" i="6"/>
  <c r="AV39" i="6"/>
  <c r="AR39" i="6"/>
  <c r="AP39" i="6"/>
  <c r="AX39" i="6"/>
  <c r="AQ39" i="6"/>
  <c r="AN40" i="6"/>
  <c r="AW39" i="6"/>
  <c r="AT39" i="6"/>
  <c r="AU39" i="6"/>
  <c r="BD254" i="6"/>
  <c r="AT254" i="6"/>
  <c r="AX254" i="6"/>
  <c r="AW254" i="6"/>
  <c r="AU254" i="6"/>
  <c r="AS254" i="6"/>
  <c r="AQ254" i="6"/>
  <c r="AN255" i="6"/>
  <c r="AR254" i="6"/>
  <c r="AP254" i="6"/>
  <c r="AV254" i="6"/>
  <c r="AW62" i="6"/>
  <c r="AU62" i="6"/>
  <c r="AQ62" i="6"/>
  <c r="AP62" i="6"/>
  <c r="BD62" i="6"/>
  <c r="AS62" i="6"/>
  <c r="AN63" i="6"/>
  <c r="AR62" i="6"/>
  <c r="AX62" i="6"/>
  <c r="AV62" i="6"/>
  <c r="AT62" i="6"/>
  <c r="AT158" i="6"/>
  <c r="BD158" i="6"/>
  <c r="AX158" i="6"/>
  <c r="AN159" i="6"/>
  <c r="AU158" i="6"/>
  <c r="AQ158" i="6"/>
  <c r="AV158" i="6"/>
  <c r="AS158" i="6"/>
  <c r="AW158" i="6"/>
  <c r="AP158" i="6"/>
  <c r="AR158" i="6"/>
  <c r="AN111" i="6"/>
  <c r="BD110" i="6"/>
  <c r="AW110" i="6"/>
  <c r="AV110" i="6"/>
  <c r="AQ110" i="6"/>
  <c r="AS110" i="6"/>
  <c r="AR110" i="6"/>
  <c r="AX110" i="6"/>
  <c r="AU110" i="6"/>
  <c r="AT110" i="6"/>
  <c r="AP110" i="6"/>
  <c r="AS182" i="6"/>
  <c r="AX182" i="6"/>
  <c r="AT182" i="6"/>
  <c r="AQ182" i="6"/>
  <c r="AW182" i="6"/>
  <c r="AU182" i="6"/>
  <c r="AV182" i="6"/>
  <c r="AR182" i="6"/>
  <c r="BD182" i="6"/>
  <c r="AP182" i="6"/>
  <c r="AN183" i="6"/>
  <c r="AU134" i="6"/>
  <c r="AR134" i="6"/>
  <c r="AX134" i="6"/>
  <c r="AW134" i="6"/>
  <c r="AN135" i="6"/>
  <c r="AS134" i="6"/>
  <c r="BD134" i="6"/>
  <c r="AP134" i="6"/>
  <c r="AV134" i="6"/>
  <c r="AT134" i="6"/>
  <c r="AQ134" i="6"/>
  <c r="AV290" i="6"/>
  <c r="AT290" i="6"/>
  <c r="AU290" i="6"/>
  <c r="AX290" i="6"/>
  <c r="BD290" i="6"/>
  <c r="AP290" i="6"/>
  <c r="AQ290" i="6"/>
  <c r="AN291" i="6"/>
  <c r="AS290" i="6"/>
  <c r="AR290" i="6"/>
  <c r="AW290" i="6"/>
  <c r="BD170" i="6"/>
  <c r="AS170" i="6"/>
  <c r="AX170" i="6"/>
  <c r="AR170" i="6"/>
  <c r="AU170" i="6"/>
  <c r="AN171" i="6"/>
  <c r="AQ170" i="6"/>
  <c r="AV170" i="6"/>
  <c r="AT170" i="6"/>
  <c r="AP170" i="6"/>
  <c r="AW170" i="6"/>
  <c r="AX87" i="6"/>
  <c r="AP87" i="6"/>
  <c r="BD87" i="6"/>
  <c r="AS87" i="6"/>
  <c r="AT87" i="6"/>
  <c r="AR87" i="6"/>
  <c r="AV87" i="6"/>
  <c r="AN88" i="6"/>
  <c r="AW87" i="6"/>
  <c r="AQ87" i="6"/>
  <c r="AU87" i="6"/>
  <c r="AU218" i="6"/>
  <c r="AQ218" i="6"/>
  <c r="AP218" i="6"/>
  <c r="AT218" i="6"/>
  <c r="AW218" i="6"/>
  <c r="AR218" i="6"/>
  <c r="AN219" i="6"/>
  <c r="AS218" i="6"/>
  <c r="AV218" i="6"/>
  <c r="BD218" i="6"/>
  <c r="AX218" i="6"/>
  <c r="AV266" i="6"/>
  <c r="AQ266" i="6"/>
  <c r="AX266" i="6"/>
  <c r="BD266" i="6"/>
  <c r="AT266" i="6"/>
  <c r="AR266" i="6"/>
  <c r="AP266" i="6"/>
  <c r="AN267" i="6"/>
  <c r="AW266" i="6"/>
  <c r="AU266" i="6"/>
  <c r="AS266" i="6"/>
  <c r="AQ146" i="6"/>
  <c r="AV146" i="6"/>
  <c r="AR146" i="6"/>
  <c r="AU146" i="6"/>
  <c r="AX146" i="6"/>
  <c r="AW146" i="6"/>
  <c r="BD146" i="6"/>
  <c r="AS146" i="6"/>
  <c r="AT146" i="6"/>
  <c r="AP146" i="6"/>
  <c r="AN147" i="6"/>
  <c r="AP123" i="6"/>
  <c r="AN124" i="6"/>
  <c r="BD123" i="6"/>
  <c r="AV123" i="6"/>
  <c r="AW123" i="6"/>
  <c r="AR123" i="6"/>
  <c r="AU123" i="6"/>
  <c r="AX123" i="6"/>
  <c r="AT123" i="6"/>
  <c r="AQ123" i="6"/>
  <c r="AS123" i="6"/>
  <c r="BD98" i="6"/>
  <c r="AU98" i="6"/>
  <c r="AV98" i="6"/>
  <c r="AR98" i="6"/>
  <c r="AQ98" i="6"/>
  <c r="AN99" i="6"/>
  <c r="AW98" i="6"/>
  <c r="AS98" i="6"/>
  <c r="AT98" i="6"/>
  <c r="AP98" i="6"/>
  <c r="AX98" i="6"/>
  <c r="AN243" i="6"/>
  <c r="BD242" i="6"/>
  <c r="AU242" i="6"/>
  <c r="AR242" i="6"/>
  <c r="AP242" i="6"/>
  <c r="AX242" i="6"/>
  <c r="AV242" i="6"/>
  <c r="AT242" i="6"/>
  <c r="AQ242" i="6"/>
  <c r="AS242" i="6"/>
  <c r="AW242" i="6"/>
  <c r="BD302" i="6"/>
  <c r="AT302" i="6"/>
  <c r="AN303" i="6"/>
  <c r="AW302" i="6"/>
  <c r="AX302" i="6"/>
  <c r="AP302" i="6"/>
  <c r="AU302" i="6"/>
  <c r="AS302" i="6"/>
  <c r="AQ302" i="6"/>
  <c r="AR302" i="6"/>
  <c r="AV302" i="6"/>
  <c r="AV232" i="6"/>
  <c r="AT232" i="6"/>
  <c r="AW232" i="6"/>
  <c r="AU232" i="6"/>
  <c r="AS232" i="6"/>
  <c r="AP232" i="6"/>
  <c r="AN233" i="6"/>
  <c r="AX232" i="6"/>
  <c r="BD232" i="6"/>
  <c r="AR232" i="6"/>
  <c r="AQ232" i="6"/>
  <c r="AR28" i="6"/>
  <c r="AT28" i="6"/>
  <c r="AQ28" i="6"/>
  <c r="AX28" i="6"/>
  <c r="AN29" i="6"/>
  <c r="AV28" i="6"/>
  <c r="AU28" i="6"/>
  <c r="AP28" i="6"/>
  <c r="BD28" i="6"/>
  <c r="AS28" i="6"/>
  <c r="BD195" i="6"/>
  <c r="AS195" i="6"/>
  <c r="AP195" i="6"/>
  <c r="AX195" i="6"/>
  <c r="AR195" i="6"/>
  <c r="AV195" i="6"/>
  <c r="AN196" i="6"/>
  <c r="AW196" i="6"/>
  <c r="AW195" i="6"/>
  <c r="AU195" i="6"/>
  <c r="AQ195" i="6"/>
  <c r="AV279" i="6"/>
  <c r="AN280" i="6"/>
  <c r="AS279" i="6"/>
  <c r="AW279" i="6"/>
  <c r="AP279" i="6"/>
  <c r="AX279" i="6"/>
  <c r="AT279" i="6"/>
  <c r="AU279" i="6"/>
  <c r="BD279" i="6"/>
  <c r="AR279" i="6"/>
  <c r="AQ279" i="6"/>
  <c r="AW75" i="6"/>
  <c r="AS75" i="6"/>
  <c r="AQ75" i="6"/>
  <c r="AP75" i="6"/>
  <c r="AT75" i="6"/>
  <c r="BD75" i="6"/>
  <c r="AU75" i="6"/>
  <c r="AR75" i="6"/>
  <c r="AX75" i="6"/>
  <c r="AV75" i="6"/>
  <c r="AU207" i="6"/>
  <c r="AT207" i="6"/>
  <c r="AW207" i="6"/>
  <c r="AS207" i="6"/>
  <c r="AP207" i="6"/>
  <c r="AV207" i="6"/>
  <c r="BD207" i="6"/>
  <c r="AR207" i="6"/>
  <c r="AX207" i="6"/>
  <c r="AQ207" i="6"/>
  <c r="AN208" i="6"/>
  <c r="AP53" i="6"/>
  <c r="AR53" i="6"/>
  <c r="AS53" i="6"/>
  <c r="AN54" i="6"/>
  <c r="AV53" i="6"/>
  <c r="AQ53" i="6"/>
  <c r="AU53" i="6"/>
  <c r="AW53" i="6"/>
  <c r="AT53" i="6"/>
  <c r="BD53" i="6"/>
  <c r="AX53" i="6"/>
  <c r="AW40" i="6"/>
  <c r="AQ40" i="6"/>
  <c r="AX40" i="6"/>
  <c r="AU40" i="6"/>
  <c r="AN41" i="6"/>
  <c r="AT40" i="6"/>
  <c r="BD40" i="6"/>
  <c r="AS40" i="6"/>
  <c r="AV40" i="6"/>
  <c r="AR40" i="6"/>
  <c r="AP40" i="6"/>
  <c r="AU15" i="6"/>
  <c r="AV15" i="6"/>
  <c r="AS15" i="6"/>
  <c r="AQ15" i="6"/>
  <c r="AR15" i="6"/>
  <c r="AN16" i="6"/>
  <c r="AT15" i="6"/>
  <c r="AX15" i="6"/>
  <c r="AW15" i="6"/>
  <c r="AP15" i="6"/>
  <c r="BD15" i="6"/>
  <c r="AN184" i="6"/>
  <c r="AT183" i="6"/>
  <c r="AX183" i="6"/>
  <c r="BD183" i="6"/>
  <c r="AS183" i="6"/>
  <c r="AQ183" i="6"/>
  <c r="AU183" i="6"/>
  <c r="AV183" i="6"/>
  <c r="AP183" i="6"/>
  <c r="AR183" i="6"/>
  <c r="AW183" i="6"/>
  <c r="AP255" i="6"/>
  <c r="AV255" i="6"/>
  <c r="BD255" i="6"/>
  <c r="AS255" i="6"/>
  <c r="AR255" i="6"/>
  <c r="AW255" i="6"/>
  <c r="AQ255" i="6"/>
  <c r="AU255" i="6"/>
  <c r="AX255" i="6"/>
  <c r="AN256" i="6"/>
  <c r="AT255" i="6"/>
  <c r="AS111" i="6"/>
  <c r="BD111" i="6"/>
  <c r="AX111" i="6"/>
  <c r="AQ111" i="6"/>
  <c r="AV111" i="6"/>
  <c r="AT111" i="6"/>
  <c r="AN112" i="6"/>
  <c r="AU111" i="6"/>
  <c r="AW111" i="6"/>
  <c r="AP111" i="6"/>
  <c r="AR111" i="6"/>
  <c r="AW159" i="6"/>
  <c r="AR159" i="6"/>
  <c r="AQ159" i="6"/>
  <c r="AX159" i="6"/>
  <c r="AP159" i="6"/>
  <c r="AU159" i="6"/>
  <c r="AV159" i="6"/>
  <c r="AS159" i="6"/>
  <c r="BD159" i="6"/>
  <c r="AT159" i="6"/>
  <c r="AN160" i="6"/>
  <c r="AR135" i="6"/>
  <c r="AS135" i="6"/>
  <c r="BD135" i="6"/>
  <c r="AQ135" i="6"/>
  <c r="AW135" i="6"/>
  <c r="AX135" i="6"/>
  <c r="AU135" i="6"/>
  <c r="AT135" i="6"/>
  <c r="AV135" i="6"/>
  <c r="AP135" i="6"/>
  <c r="AN136" i="6"/>
  <c r="AW63" i="6"/>
  <c r="AR63" i="6"/>
  <c r="AN64" i="6"/>
  <c r="AT63" i="6"/>
  <c r="AU63" i="6"/>
  <c r="AX63" i="6"/>
  <c r="BD63" i="6"/>
  <c r="AS63" i="6"/>
  <c r="AV63" i="6"/>
  <c r="AP63" i="6"/>
  <c r="AQ63" i="6"/>
  <c r="AW99" i="6"/>
  <c r="AS99" i="6"/>
  <c r="AN100" i="6"/>
  <c r="AX99" i="6"/>
  <c r="AV99" i="6"/>
  <c r="AU99" i="6"/>
  <c r="AT99" i="6"/>
  <c r="AR99" i="6"/>
  <c r="AP99" i="6"/>
  <c r="BD99" i="6"/>
  <c r="AQ99" i="6"/>
  <c r="AW171" i="6"/>
  <c r="AU171" i="6"/>
  <c r="AT171" i="6"/>
  <c r="AV171" i="6"/>
  <c r="AS171" i="6"/>
  <c r="AQ171" i="6"/>
  <c r="AN172" i="6"/>
  <c r="AR171" i="6"/>
  <c r="BD171" i="6"/>
  <c r="AP171" i="6"/>
  <c r="AX171" i="6"/>
  <c r="AV291" i="6"/>
  <c r="AR291" i="6"/>
  <c r="AP291" i="6"/>
  <c r="AW291" i="6"/>
  <c r="AX291" i="6"/>
  <c r="AU291" i="6"/>
  <c r="AS291" i="6"/>
  <c r="AQ291" i="6"/>
  <c r="AN292" i="6"/>
  <c r="BD291" i="6"/>
  <c r="AT291" i="6"/>
  <c r="AR303" i="6"/>
  <c r="AP303" i="6"/>
  <c r="BD303" i="6"/>
  <c r="AX303" i="6"/>
  <c r="AT303" i="6"/>
  <c r="AS303" i="6"/>
  <c r="AV303" i="6"/>
  <c r="AQ303" i="6"/>
  <c r="AN304" i="6"/>
  <c r="AU303" i="6"/>
  <c r="AW303" i="6"/>
  <c r="AN125" i="6"/>
  <c r="AU124" i="6"/>
  <c r="AT124" i="6"/>
  <c r="BD124" i="6"/>
  <c r="AS124" i="6"/>
  <c r="AV124" i="6"/>
  <c r="AX124" i="6"/>
  <c r="AQ124" i="6"/>
  <c r="AR124" i="6"/>
  <c r="AP124" i="6"/>
  <c r="AW124" i="6"/>
  <c r="AV267" i="6"/>
  <c r="AT267" i="6"/>
  <c r="AQ267" i="6"/>
  <c r="AW267" i="6"/>
  <c r="AS267" i="6"/>
  <c r="AX267" i="6"/>
  <c r="AP267" i="6"/>
  <c r="AU267" i="6"/>
  <c r="BD267" i="6"/>
  <c r="AR267" i="6"/>
  <c r="AN268" i="6"/>
  <c r="AT219" i="6"/>
  <c r="AQ219" i="6"/>
  <c r="AX219" i="6"/>
  <c r="AV219" i="6"/>
  <c r="AP219" i="6"/>
  <c r="AN220" i="6"/>
  <c r="AR219" i="6"/>
  <c r="BD219" i="6"/>
  <c r="AU219" i="6"/>
  <c r="AW219" i="6"/>
  <c r="AS219" i="6"/>
  <c r="AN77" i="6"/>
  <c r="AQ76" i="6"/>
  <c r="BD76" i="6"/>
  <c r="AX76" i="6"/>
  <c r="AR76" i="6"/>
  <c r="AU76" i="6"/>
  <c r="AS76" i="6"/>
  <c r="AV76" i="6"/>
  <c r="AT76" i="6"/>
  <c r="AW76" i="6"/>
  <c r="AP76" i="6"/>
  <c r="AW29" i="6"/>
  <c r="AS29" i="6"/>
  <c r="AQ29" i="6"/>
  <c r="AN30" i="6"/>
  <c r="AV29" i="6"/>
  <c r="AR29" i="6"/>
  <c r="AP29" i="6"/>
  <c r="AX29" i="6"/>
  <c r="AU29" i="6"/>
  <c r="BD29" i="6"/>
  <c r="AT29" i="6"/>
  <c r="AW243" i="6"/>
  <c r="AQ243" i="6"/>
  <c r="AT243" i="6"/>
  <c r="AX243" i="6"/>
  <c r="AS243" i="6"/>
  <c r="AP243" i="6"/>
  <c r="AV243" i="6"/>
  <c r="AN244" i="6"/>
  <c r="BD243" i="6"/>
  <c r="AU243" i="6"/>
  <c r="AR243" i="6"/>
  <c r="AV147" i="6"/>
  <c r="BD147" i="6"/>
  <c r="AW147" i="6"/>
  <c r="AU147" i="6"/>
  <c r="AX147" i="6"/>
  <c r="AQ147" i="6"/>
  <c r="AT147" i="6"/>
  <c r="AN148" i="6"/>
  <c r="AP147" i="6"/>
  <c r="AR147" i="6"/>
  <c r="AS147" i="6"/>
  <c r="AV88" i="6"/>
  <c r="AW88" i="6"/>
  <c r="AX88" i="6"/>
  <c r="AR88" i="6"/>
  <c r="AN89" i="6"/>
  <c r="BD88" i="6"/>
  <c r="AP88" i="6"/>
  <c r="AT88" i="6"/>
  <c r="AS88" i="6"/>
  <c r="AQ88" i="6"/>
  <c r="AU88" i="6"/>
  <c r="AW233" i="6"/>
  <c r="AR233" i="6"/>
  <c r="AX233" i="6"/>
  <c r="AP233" i="6"/>
  <c r="AQ233" i="6"/>
  <c r="AS233" i="6"/>
  <c r="AN234" i="6"/>
  <c r="BD233" i="6"/>
  <c r="AU233" i="6"/>
  <c r="AV233" i="6"/>
  <c r="AT233" i="6"/>
  <c r="AV196" i="6"/>
  <c r="AQ196" i="6"/>
  <c r="AP196" i="6"/>
  <c r="BD196" i="6"/>
  <c r="AS196" i="6"/>
  <c r="AR196" i="6"/>
  <c r="AN197" i="6"/>
  <c r="AX197" i="6"/>
  <c r="AT196" i="6"/>
  <c r="AX196" i="6"/>
  <c r="AU196" i="6"/>
  <c r="BD280" i="6"/>
  <c r="AP280" i="6"/>
  <c r="AQ280" i="6"/>
  <c r="AT280" i="6"/>
  <c r="AX280" i="6"/>
  <c r="AW280" i="6"/>
  <c r="AU280" i="6"/>
  <c r="AV280" i="6"/>
  <c r="AS280" i="6"/>
  <c r="AN281" i="6"/>
  <c r="AR280" i="6"/>
  <c r="AU208" i="6"/>
  <c r="BD208" i="6"/>
  <c r="AR208" i="6"/>
  <c r="AT208" i="6"/>
  <c r="AP208" i="6"/>
  <c r="AN209" i="6"/>
  <c r="AW208" i="6"/>
  <c r="AX208" i="6"/>
  <c r="AV208" i="6"/>
  <c r="AS208" i="6"/>
  <c r="AQ208" i="6"/>
  <c r="AW41" i="6"/>
  <c r="AR41" i="6"/>
  <c r="AQ41" i="6"/>
  <c r="AU41" i="6"/>
  <c r="AX41" i="6"/>
  <c r="AT41" i="6"/>
  <c r="AN42" i="6"/>
  <c r="AP41" i="6"/>
  <c r="AV41" i="6"/>
  <c r="BD41" i="6"/>
  <c r="AS41" i="6"/>
  <c r="AP54" i="6"/>
  <c r="AT54" i="6"/>
  <c r="AR54" i="6"/>
  <c r="AQ54" i="6"/>
  <c r="BD54" i="6"/>
  <c r="AV54" i="6"/>
  <c r="AW54" i="6"/>
  <c r="AU54" i="6"/>
  <c r="AX54" i="6"/>
  <c r="AS54" i="6"/>
  <c r="AW16" i="6"/>
  <c r="AV16" i="6"/>
  <c r="AR16" i="6"/>
  <c r="BD16" i="6"/>
  <c r="AU16" i="6"/>
  <c r="AT16" i="6"/>
  <c r="AS16" i="6"/>
  <c r="AN17" i="6"/>
  <c r="AP16" i="6"/>
  <c r="AX16" i="6"/>
  <c r="AQ16" i="6"/>
  <c r="AW112" i="6"/>
  <c r="AT112" i="6"/>
  <c r="AX112" i="6"/>
  <c r="AU112" i="6"/>
  <c r="AR112" i="6"/>
  <c r="AV112" i="6"/>
  <c r="AN113" i="6"/>
  <c r="AP112" i="6"/>
  <c r="BD112" i="6"/>
  <c r="AS112" i="6"/>
  <c r="AQ112" i="6"/>
  <c r="AV256" i="6"/>
  <c r="AS256" i="6"/>
  <c r="AX256" i="6"/>
  <c r="AR256" i="6"/>
  <c r="AN257" i="6"/>
  <c r="AP256" i="6"/>
  <c r="AU256" i="6"/>
  <c r="BD256" i="6"/>
  <c r="AQ256" i="6"/>
  <c r="AT256" i="6"/>
  <c r="AW256" i="6"/>
  <c r="AQ184" i="6"/>
  <c r="AX184" i="6"/>
  <c r="AT184" i="6"/>
  <c r="AN185" i="6"/>
  <c r="AS184" i="6"/>
  <c r="BD184" i="6"/>
  <c r="AW184" i="6"/>
  <c r="AU184" i="6"/>
  <c r="AR184" i="6"/>
  <c r="AV184" i="6"/>
  <c r="AP184" i="6"/>
  <c r="AX136" i="6"/>
  <c r="AR136" i="6"/>
  <c r="AU136" i="6"/>
  <c r="AV136" i="6"/>
  <c r="AP136" i="6"/>
  <c r="BD136" i="6"/>
  <c r="AN137" i="6"/>
  <c r="AS136" i="6"/>
  <c r="AT136" i="6"/>
  <c r="AQ136" i="6"/>
  <c r="AW136" i="6"/>
  <c r="AR160" i="6"/>
  <c r="AS160" i="6"/>
  <c r="AT160" i="6"/>
  <c r="AW160" i="6"/>
  <c r="AU160" i="6"/>
  <c r="AV160" i="6"/>
  <c r="AP160" i="6"/>
  <c r="AX160" i="6"/>
  <c r="AQ160" i="6"/>
  <c r="AN161" i="6"/>
  <c r="BD160" i="6"/>
  <c r="AW64" i="6"/>
  <c r="AS64" i="6"/>
  <c r="AN65" i="6"/>
  <c r="AU64" i="6"/>
  <c r="AT64" i="6"/>
  <c r="AX64" i="6"/>
  <c r="AR64" i="6"/>
  <c r="BD64" i="6"/>
  <c r="AV64" i="6"/>
  <c r="AQ64" i="6"/>
  <c r="AP64" i="6"/>
  <c r="AR148" i="6"/>
  <c r="AQ148" i="6"/>
  <c r="AV148" i="6"/>
  <c r="AP148" i="6"/>
  <c r="AW148" i="6"/>
  <c r="AX148" i="6"/>
  <c r="AT148" i="6"/>
  <c r="AN149" i="6"/>
  <c r="AS148" i="6"/>
  <c r="BD148" i="6"/>
  <c r="AU148" i="6"/>
  <c r="AX30" i="6"/>
  <c r="AP30" i="6"/>
  <c r="BD30" i="6"/>
  <c r="AU30" i="6"/>
  <c r="AS30" i="6"/>
  <c r="AW30" i="6"/>
  <c r="AT30" i="6"/>
  <c r="AR30" i="6"/>
  <c r="AV30" i="6"/>
  <c r="AQ30" i="6"/>
  <c r="AT220" i="6"/>
  <c r="AP220" i="6"/>
  <c r="AR220" i="6"/>
  <c r="AU220" i="6"/>
  <c r="AN221" i="6"/>
  <c r="AS220" i="6"/>
  <c r="AQ220" i="6"/>
  <c r="AX220" i="6"/>
  <c r="AW220" i="6"/>
  <c r="AV220" i="6"/>
  <c r="BD220" i="6"/>
  <c r="AW292" i="6"/>
  <c r="AT292" i="6"/>
  <c r="AS292" i="6"/>
  <c r="AQ292" i="6"/>
  <c r="BD292" i="6"/>
  <c r="AV292" i="6"/>
  <c r="AP292" i="6"/>
  <c r="AR292" i="6"/>
  <c r="AU292" i="6"/>
  <c r="AX292" i="6"/>
  <c r="AN293" i="6"/>
  <c r="AU244" i="6"/>
  <c r="AX244" i="6"/>
  <c r="AW244" i="6"/>
  <c r="AR244" i="6"/>
  <c r="AV244" i="6"/>
  <c r="AS244" i="6"/>
  <c r="BD244" i="6"/>
  <c r="AQ244" i="6"/>
  <c r="AT244" i="6"/>
  <c r="AN245" i="6"/>
  <c r="AP244" i="6"/>
  <c r="AP268" i="6"/>
  <c r="BD268" i="6"/>
  <c r="AR268" i="6"/>
  <c r="AQ268" i="6"/>
  <c r="AS268" i="6"/>
  <c r="AU268" i="6"/>
  <c r="AN269" i="6"/>
  <c r="AW268" i="6"/>
  <c r="AT268" i="6"/>
  <c r="AV268" i="6"/>
  <c r="AX268" i="6"/>
  <c r="AQ304" i="6"/>
  <c r="AV304" i="6"/>
  <c r="AT304" i="6"/>
  <c r="AR304" i="6"/>
  <c r="AN305" i="6"/>
  <c r="AS304" i="6"/>
  <c r="BD304" i="6"/>
  <c r="AW304" i="6"/>
  <c r="AU304" i="6"/>
  <c r="AX304" i="6"/>
  <c r="AP304" i="6"/>
  <c r="AV172" i="6"/>
  <c r="AU172" i="6"/>
  <c r="AR172" i="6"/>
  <c r="AN173" i="6"/>
  <c r="AW172" i="6"/>
  <c r="AQ172" i="6"/>
  <c r="AS172" i="6"/>
  <c r="BD172" i="6"/>
  <c r="AT172" i="6"/>
  <c r="AX172" i="6"/>
  <c r="AP172" i="6"/>
  <c r="AW100" i="6"/>
  <c r="AS100" i="6"/>
  <c r="AV100" i="6"/>
  <c r="AR100" i="6"/>
  <c r="AP100" i="6"/>
  <c r="BD100" i="6"/>
  <c r="AX100" i="6"/>
  <c r="AU100" i="6"/>
  <c r="AN101" i="6"/>
  <c r="AT100" i="6"/>
  <c r="AQ100" i="6"/>
  <c r="AP89" i="6"/>
  <c r="AV89" i="6"/>
  <c r="AU89" i="6"/>
  <c r="AR89" i="6"/>
  <c r="AW89" i="6"/>
  <c r="AS89" i="6"/>
  <c r="AN90" i="6"/>
  <c r="AQ89" i="6"/>
  <c r="BD89" i="6"/>
  <c r="AX89" i="6"/>
  <c r="AT89" i="6"/>
  <c r="AR197" i="6"/>
  <c r="AV77" i="6"/>
  <c r="AR77" i="6"/>
  <c r="AX77" i="6"/>
  <c r="AQ77" i="6"/>
  <c r="AU77" i="6"/>
  <c r="AP77" i="6"/>
  <c r="AT77" i="6"/>
  <c r="AN78" i="6"/>
  <c r="BD77" i="6"/>
  <c r="AS77" i="6"/>
  <c r="AW77" i="6"/>
  <c r="AQ125" i="6"/>
  <c r="AP125" i="6"/>
  <c r="AX125" i="6"/>
  <c r="AR125" i="6"/>
  <c r="AU125" i="6"/>
  <c r="BD125" i="6"/>
  <c r="AW125" i="6"/>
  <c r="AV125" i="6"/>
  <c r="AS125" i="6"/>
  <c r="AN126" i="6"/>
  <c r="AT125" i="6"/>
  <c r="AV234" i="6"/>
  <c r="AX234" i="6"/>
  <c r="AW234" i="6"/>
  <c r="AT234" i="6"/>
  <c r="AR234" i="6"/>
  <c r="AP234" i="6"/>
  <c r="AQ234" i="6"/>
  <c r="AU234" i="6"/>
  <c r="AS234" i="6"/>
  <c r="BD234" i="6"/>
  <c r="AT197" i="6"/>
  <c r="BD197" i="6"/>
  <c r="AN198" i="6"/>
  <c r="AV197" i="6"/>
  <c r="AQ197" i="6"/>
  <c r="AW197" i="6"/>
  <c r="AS197" i="6"/>
  <c r="AU197" i="6"/>
  <c r="AP197" i="6"/>
  <c r="BA46" i="6"/>
  <c r="BD281" i="6"/>
  <c r="AT281" i="6"/>
  <c r="AN282" i="6"/>
  <c r="AQ281" i="6"/>
  <c r="AV281" i="6"/>
  <c r="AS281" i="6"/>
  <c r="AR281" i="6"/>
  <c r="AW281" i="6"/>
  <c r="AX281" i="6"/>
  <c r="AP281" i="6"/>
  <c r="AU281" i="6"/>
  <c r="BA47" i="6"/>
  <c r="AX209" i="6"/>
  <c r="AT209" i="6"/>
  <c r="AP209" i="6"/>
  <c r="AU209" i="6"/>
  <c r="BD209" i="6"/>
  <c r="AV209" i="6"/>
  <c r="AQ209" i="6"/>
  <c r="AN210" i="6"/>
  <c r="AS209" i="6"/>
  <c r="AW209" i="6"/>
  <c r="AR209" i="6"/>
  <c r="AZ54" i="6"/>
  <c r="BA45" i="6"/>
  <c r="AX42" i="6"/>
  <c r="AQ42" i="6"/>
  <c r="AR42" i="6"/>
  <c r="AU42" i="6"/>
  <c r="AW42" i="6"/>
  <c r="AT42" i="6"/>
  <c r="BD42" i="6"/>
  <c r="AS42" i="6"/>
  <c r="AV42" i="6"/>
  <c r="AP42" i="6"/>
  <c r="AZ42" i="6"/>
  <c r="AS17" i="6"/>
  <c r="AT17" i="6"/>
  <c r="AX17" i="6"/>
  <c r="AU17" i="6"/>
  <c r="AP17" i="6"/>
  <c r="AV17" i="6"/>
  <c r="AW17" i="6"/>
  <c r="AR17" i="6"/>
  <c r="AN18" i="6"/>
  <c r="BD17" i="6"/>
  <c r="AQ17" i="6"/>
  <c r="BD257" i="6"/>
  <c r="AT257" i="6"/>
  <c r="AV257" i="6"/>
  <c r="AS257" i="6"/>
  <c r="AN258" i="6"/>
  <c r="AU257" i="6"/>
  <c r="AW257" i="6"/>
  <c r="AR257" i="6"/>
  <c r="AP257" i="6"/>
  <c r="AQ257" i="6"/>
  <c r="AX257" i="6"/>
  <c r="BD185" i="6"/>
  <c r="AU185" i="6"/>
  <c r="AX185" i="6"/>
  <c r="AR185" i="6"/>
  <c r="AW185" i="6"/>
  <c r="AQ185" i="6"/>
  <c r="AT185" i="6"/>
  <c r="AN186" i="6"/>
  <c r="AS185" i="6"/>
  <c r="AP185" i="6"/>
  <c r="AV185" i="6"/>
  <c r="AW137" i="6"/>
  <c r="AV137" i="6"/>
  <c r="AX137" i="6"/>
  <c r="AT137" i="6"/>
  <c r="AU137" i="6"/>
  <c r="AR137" i="6"/>
  <c r="BD137" i="6"/>
  <c r="AQ137" i="6"/>
  <c r="AP137" i="6"/>
  <c r="AS137" i="6"/>
  <c r="AN138" i="6"/>
  <c r="AW65" i="6"/>
  <c r="AV65" i="6"/>
  <c r="AQ65" i="6"/>
  <c r="AX65" i="6"/>
  <c r="AS65" i="6"/>
  <c r="AT65" i="6"/>
  <c r="AU65" i="6"/>
  <c r="BD65" i="6"/>
  <c r="AR65" i="6"/>
  <c r="AP65" i="6"/>
  <c r="AN66" i="6"/>
  <c r="AT161" i="6"/>
  <c r="BD161" i="6"/>
  <c r="AN162" i="6"/>
  <c r="AV161" i="6"/>
  <c r="AS161" i="6"/>
  <c r="AR161" i="6"/>
  <c r="AQ161" i="6"/>
  <c r="AW161" i="6"/>
  <c r="AX161" i="6"/>
  <c r="AU161" i="6"/>
  <c r="AP161" i="6"/>
  <c r="AP113" i="6"/>
  <c r="AN114" i="6"/>
  <c r="AS113" i="6"/>
  <c r="AX113" i="6"/>
  <c r="AR113" i="6"/>
  <c r="BD113" i="6"/>
  <c r="AT113" i="6"/>
  <c r="AV113" i="6"/>
  <c r="AU113" i="6"/>
  <c r="AW113" i="6"/>
  <c r="AQ113" i="6"/>
  <c r="AN222" i="6"/>
  <c r="AS221" i="6"/>
  <c r="AX221" i="6"/>
  <c r="AR221" i="6"/>
  <c r="BD221" i="6"/>
  <c r="AT221" i="6"/>
  <c r="AW221" i="6"/>
  <c r="AP221" i="6"/>
  <c r="AV221" i="6"/>
  <c r="AQ221" i="6"/>
  <c r="AU221" i="6"/>
  <c r="AV90" i="6"/>
  <c r="AR90" i="6"/>
  <c r="AP90" i="6"/>
  <c r="AS90" i="6"/>
  <c r="AU90" i="6"/>
  <c r="AX90" i="6"/>
  <c r="AT90" i="6"/>
  <c r="AQ90" i="6"/>
  <c r="AW90" i="6"/>
  <c r="BD90" i="6"/>
  <c r="AZ30" i="6"/>
  <c r="BA21" i="6"/>
  <c r="AX305" i="6"/>
  <c r="AQ305" i="6"/>
  <c r="AV305" i="6"/>
  <c r="AS305" i="6"/>
  <c r="AR305" i="6"/>
  <c r="AU305" i="6"/>
  <c r="AN306" i="6"/>
  <c r="AP305" i="6"/>
  <c r="AW305" i="6"/>
  <c r="AT305" i="6"/>
  <c r="BD305" i="6"/>
  <c r="BA226" i="6"/>
  <c r="BD101" i="6"/>
  <c r="AQ101" i="6"/>
  <c r="AR101" i="6"/>
  <c r="AW101" i="6"/>
  <c r="AS101" i="6"/>
  <c r="AP101" i="6"/>
  <c r="AV101" i="6"/>
  <c r="AU101" i="6"/>
  <c r="AX101" i="6"/>
  <c r="AT101" i="6"/>
  <c r="AN102" i="6"/>
  <c r="AW173" i="6"/>
  <c r="AR173" i="6"/>
  <c r="AP173" i="6"/>
  <c r="AX173" i="6"/>
  <c r="AT173" i="6"/>
  <c r="AS173" i="6"/>
  <c r="AN174" i="6"/>
  <c r="AV173" i="6"/>
  <c r="AU173" i="6"/>
  <c r="BD173" i="6"/>
  <c r="AQ173" i="6"/>
  <c r="AN270" i="6"/>
  <c r="AX269" i="6"/>
  <c r="AP269" i="6"/>
  <c r="AT269" i="6"/>
  <c r="AQ269" i="6"/>
  <c r="AV269" i="6"/>
  <c r="AW269" i="6"/>
  <c r="BD269" i="6"/>
  <c r="AS269" i="6"/>
  <c r="AR269" i="6"/>
  <c r="AU269" i="6"/>
  <c r="AS245" i="6"/>
  <c r="BD245" i="6"/>
  <c r="AV245" i="6"/>
  <c r="AR245" i="6"/>
  <c r="AX245" i="6"/>
  <c r="AU245" i="6"/>
  <c r="AQ245" i="6"/>
  <c r="AP245" i="6"/>
  <c r="AT245" i="6"/>
  <c r="AN246" i="6"/>
  <c r="AW245" i="6"/>
  <c r="BA23" i="6"/>
  <c r="BA22" i="6"/>
  <c r="AP149" i="6"/>
  <c r="AN150" i="6"/>
  <c r="BD149" i="6"/>
  <c r="AW149" i="6"/>
  <c r="AR149" i="6"/>
  <c r="AU149" i="6"/>
  <c r="AX149" i="6"/>
  <c r="AV149" i="6"/>
  <c r="AT149" i="6"/>
  <c r="AQ149" i="6"/>
  <c r="AS149" i="6"/>
  <c r="AT78" i="6"/>
  <c r="AQ78" i="6"/>
  <c r="AW78" i="6"/>
  <c r="AX78" i="6"/>
  <c r="BD78" i="6"/>
  <c r="AR78" i="6"/>
  <c r="AU78" i="6"/>
  <c r="AV78" i="6"/>
  <c r="AP78" i="6"/>
  <c r="AZ78" i="6"/>
  <c r="AS78" i="6"/>
  <c r="AP126" i="6"/>
  <c r="AZ126" i="6"/>
  <c r="AS126" i="6"/>
  <c r="AR126" i="6"/>
  <c r="AX126" i="6"/>
  <c r="AQ126" i="6"/>
  <c r="AW126" i="6"/>
  <c r="AV126" i="6"/>
  <c r="BD126" i="6"/>
  <c r="AT126" i="6"/>
  <c r="AU126" i="6"/>
  <c r="AV198" i="6"/>
  <c r="AU198" i="6"/>
  <c r="AS198" i="6"/>
  <c r="BD198" i="6"/>
  <c r="AQ198" i="6"/>
  <c r="AP198" i="6"/>
  <c r="AZ198" i="6"/>
  <c r="AW198" i="6"/>
  <c r="AX198" i="6"/>
  <c r="AT198" i="6"/>
  <c r="AR198" i="6"/>
  <c r="AV293" i="6"/>
  <c r="AU293" i="6"/>
  <c r="AR293" i="6"/>
  <c r="AN294" i="6"/>
  <c r="AW293" i="6"/>
  <c r="AP293" i="6"/>
  <c r="AT293" i="6"/>
  <c r="AS293" i="6"/>
  <c r="AQ293" i="6"/>
  <c r="BD293" i="6"/>
  <c r="AX293" i="6"/>
  <c r="BA227" i="6"/>
  <c r="AZ234" i="6"/>
  <c r="BA225" i="6"/>
  <c r="BA35" i="6"/>
  <c r="AV282" i="6"/>
  <c r="AU282" i="6"/>
  <c r="AQ282" i="6"/>
  <c r="AR282" i="6"/>
  <c r="AS282" i="6"/>
  <c r="AW282" i="6"/>
  <c r="BD282" i="6"/>
  <c r="AX282" i="6"/>
  <c r="AT282" i="6"/>
  <c r="AP282" i="6"/>
  <c r="BA191" i="6"/>
  <c r="BA119" i="6"/>
  <c r="BA34" i="6"/>
  <c r="BD210" i="6"/>
  <c r="AQ210" i="6"/>
  <c r="AR210" i="6"/>
  <c r="AV210" i="6"/>
  <c r="AW210" i="6"/>
  <c r="AU210" i="6"/>
  <c r="AP210" i="6"/>
  <c r="AZ210" i="6"/>
  <c r="AX210" i="6"/>
  <c r="AT210" i="6"/>
  <c r="AS210" i="6"/>
  <c r="AX18" i="6"/>
  <c r="AP18" i="6"/>
  <c r="AZ18" i="6"/>
  <c r="AW18" i="6"/>
  <c r="AV18" i="6"/>
  <c r="AT18" i="6"/>
  <c r="AR18" i="6"/>
  <c r="AQ18" i="6"/>
  <c r="AU18" i="6"/>
  <c r="BD18" i="6"/>
  <c r="AS18" i="6"/>
  <c r="BA33" i="6"/>
  <c r="BA70" i="6"/>
  <c r="BD114" i="6"/>
  <c r="AW114" i="6"/>
  <c r="AT114" i="6"/>
  <c r="AU114" i="6"/>
  <c r="AV114" i="6"/>
  <c r="AP114" i="6"/>
  <c r="AZ114" i="6"/>
  <c r="AQ114" i="6"/>
  <c r="AX114" i="6"/>
  <c r="AR114" i="6"/>
  <c r="AS114" i="6"/>
  <c r="AV138" i="6"/>
  <c r="BD138" i="6"/>
  <c r="AU138" i="6"/>
  <c r="AP138" i="6"/>
  <c r="AX138" i="6"/>
  <c r="AT138" i="6"/>
  <c r="AS138" i="6"/>
  <c r="AQ138" i="6"/>
  <c r="AW138" i="6"/>
  <c r="AR138" i="6"/>
  <c r="AT66" i="6"/>
  <c r="AR66" i="6"/>
  <c r="AV66" i="6"/>
  <c r="AP66" i="6"/>
  <c r="AZ66" i="6"/>
  <c r="AU66" i="6"/>
  <c r="AX66" i="6"/>
  <c r="AS66" i="6"/>
  <c r="AQ66" i="6"/>
  <c r="AW66" i="6"/>
  <c r="BD66" i="6"/>
  <c r="BA71" i="6"/>
  <c r="AW162" i="6"/>
  <c r="AS162" i="6"/>
  <c r="AP162" i="6"/>
  <c r="AZ162" i="6"/>
  <c r="AU162" i="6"/>
  <c r="AV162" i="6"/>
  <c r="AT162" i="6"/>
  <c r="AQ162" i="6"/>
  <c r="BD162" i="6"/>
  <c r="AX162" i="6"/>
  <c r="AR162" i="6"/>
  <c r="AT186" i="6"/>
  <c r="AQ186" i="6"/>
  <c r="AP186" i="6"/>
  <c r="AZ186" i="6"/>
  <c r="AR186" i="6"/>
  <c r="BD186" i="6"/>
  <c r="AV186" i="6"/>
  <c r="AW186" i="6"/>
  <c r="AX186" i="6"/>
  <c r="AU186" i="6"/>
  <c r="AS186" i="6"/>
  <c r="AT258" i="6"/>
  <c r="AS258" i="6"/>
  <c r="AW258" i="6"/>
  <c r="AR258" i="6"/>
  <c r="AU258" i="6"/>
  <c r="AP258" i="6"/>
  <c r="AQ258" i="6"/>
  <c r="BD258" i="6"/>
  <c r="AV258" i="6"/>
  <c r="AX258" i="6"/>
  <c r="BA82" i="6"/>
  <c r="AW306" i="6"/>
  <c r="AX306" i="6"/>
  <c r="AP306" i="6"/>
  <c r="AZ306" i="6"/>
  <c r="AS306" i="6"/>
  <c r="BD306" i="6"/>
  <c r="AQ306" i="6"/>
  <c r="AV306" i="6"/>
  <c r="AU306" i="6"/>
  <c r="AR306" i="6"/>
  <c r="AT306" i="6"/>
  <c r="AT150" i="6"/>
  <c r="AS150" i="6"/>
  <c r="AW150" i="6"/>
  <c r="AU150" i="6"/>
  <c r="AX150" i="6"/>
  <c r="AR150" i="6"/>
  <c r="AV150" i="6"/>
  <c r="BD150" i="6"/>
  <c r="AP150" i="6"/>
  <c r="AZ150" i="6"/>
  <c r="AQ150" i="6"/>
  <c r="BA189" i="6"/>
  <c r="AZ90" i="6"/>
  <c r="BA81" i="6"/>
  <c r="BA117" i="6"/>
  <c r="AX246" i="6"/>
  <c r="AR246" i="6"/>
  <c r="AS246" i="6"/>
  <c r="AW246" i="6"/>
  <c r="AP246" i="6"/>
  <c r="AZ246" i="6"/>
  <c r="AT246" i="6"/>
  <c r="AQ246" i="6"/>
  <c r="AU246" i="6"/>
  <c r="AV246" i="6"/>
  <c r="BD246" i="6"/>
  <c r="AW270" i="6"/>
  <c r="AP270" i="6"/>
  <c r="AT270" i="6"/>
  <c r="BD270" i="6"/>
  <c r="AV270" i="6"/>
  <c r="AR270" i="6"/>
  <c r="AS270" i="6"/>
  <c r="AU270" i="6"/>
  <c r="AQ270" i="6"/>
  <c r="AX270" i="6"/>
  <c r="AW102" i="6"/>
  <c r="AT102" i="6"/>
  <c r="AP102" i="6"/>
  <c r="BD102" i="6"/>
  <c r="AQ102" i="6"/>
  <c r="AX102" i="6"/>
  <c r="AR102" i="6"/>
  <c r="AV102" i="6"/>
  <c r="AU102" i="6"/>
  <c r="AS102" i="6"/>
  <c r="BA69" i="6"/>
  <c r="AW294" i="6"/>
  <c r="AQ294" i="6"/>
  <c r="AR294" i="6"/>
  <c r="AP294" i="6"/>
  <c r="AZ294" i="6"/>
  <c r="BD294" i="6"/>
  <c r="AS294" i="6"/>
  <c r="AV294" i="6"/>
  <c r="AT294" i="6"/>
  <c r="AU294" i="6"/>
  <c r="AX294" i="6"/>
  <c r="BA190" i="6"/>
  <c r="BA118" i="6"/>
  <c r="AV174" i="6"/>
  <c r="AP174" i="6"/>
  <c r="BD174" i="6"/>
  <c r="AU174" i="6"/>
  <c r="AS174" i="6"/>
  <c r="AX174" i="6"/>
  <c r="AQ174" i="6"/>
  <c r="AW174" i="6"/>
  <c r="AR174" i="6"/>
  <c r="AT174" i="6"/>
  <c r="BA83" i="6"/>
  <c r="AS222" i="6"/>
  <c r="AU222" i="6"/>
  <c r="AV222" i="6"/>
  <c r="AP222" i="6"/>
  <c r="AZ222" i="6"/>
  <c r="AX222" i="6"/>
  <c r="BD222" i="6"/>
  <c r="AT222" i="6"/>
  <c r="AW222" i="6"/>
  <c r="AR222" i="6"/>
  <c r="AQ222" i="6"/>
  <c r="BA273" i="6"/>
  <c r="AZ282" i="6"/>
  <c r="BA274" i="6"/>
  <c r="BA275" i="6"/>
  <c r="BA287" i="6"/>
  <c r="BA297" i="6"/>
  <c r="BA202" i="6"/>
  <c r="BA239" i="6"/>
  <c r="BA143" i="6"/>
  <c r="BA9" i="6"/>
  <c r="BA203" i="6"/>
  <c r="BA11" i="6"/>
  <c r="BA10" i="6"/>
  <c r="BA250" i="6"/>
  <c r="BA154" i="6"/>
  <c r="BA59" i="6"/>
  <c r="BA130" i="6"/>
  <c r="BA107" i="6"/>
  <c r="BA201" i="6"/>
  <c r="BA155" i="6"/>
  <c r="BA179" i="6"/>
  <c r="BA177" i="6"/>
  <c r="BA131" i="6"/>
  <c r="BA58" i="6"/>
  <c r="BA57" i="6"/>
  <c r="BA285" i="6"/>
  <c r="BA153" i="6"/>
  <c r="BA105" i="6"/>
  <c r="BA262" i="6"/>
  <c r="AZ258" i="6"/>
  <c r="BA249" i="6"/>
  <c r="BA167" i="6"/>
  <c r="BA215" i="6"/>
  <c r="BA178" i="6"/>
  <c r="BA166" i="6"/>
  <c r="BA251" i="6"/>
  <c r="BA213" i="6"/>
  <c r="BA214" i="6"/>
  <c r="BA263" i="6"/>
  <c r="BA238" i="6"/>
  <c r="AZ138" i="6"/>
  <c r="BA129" i="6"/>
  <c r="BA106" i="6"/>
  <c r="BA286" i="6"/>
  <c r="BA94" i="6"/>
  <c r="BA237" i="6"/>
  <c r="AZ102" i="6"/>
  <c r="BA93" i="6"/>
  <c r="BA142" i="6"/>
  <c r="BA298" i="6"/>
  <c r="AZ174" i="6"/>
  <c r="BA165" i="6"/>
  <c r="BA95" i="6"/>
  <c r="AZ270" i="6"/>
  <c r="BA261" i="6"/>
  <c r="BA299" i="6"/>
  <c r="BA141" i="6"/>
  <c r="D85" i="11" l="1" a="1"/>
  <c r="D8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CherryChan</author>
  </authors>
  <commentList>
    <comment ref="AJ2" authorId="0" shapeId="0" xr:uid="{1296C045-B0BC-4A02-9A70-E5F032F05D79}">
      <text>
        <r>
          <rPr>
            <b/>
            <sz val="9"/>
            <color indexed="81"/>
            <rFont val="Tahoma"/>
            <family val="2"/>
          </rPr>
          <t>CherryChan:</t>
        </r>
        <r>
          <rPr>
            <sz val="9"/>
            <color indexed="81"/>
            <rFont val="Tahoma"/>
            <family val="2"/>
          </rPr>
          <t xml:space="preserve">
VLOOKUP上月"剩餘
補鐘"
</t>
        </r>
      </text>
    </comment>
    <comment ref="AO2" authorId="0" shapeId="0" xr:uid="{44A47496-96C0-4072-8B32-E25DE1751DD5}">
      <text>
        <r>
          <rPr>
            <b/>
            <sz val="9"/>
            <color indexed="81"/>
            <rFont val="Tahoma"/>
            <family val="2"/>
          </rPr>
          <t>CherryChan:</t>
        </r>
        <r>
          <rPr>
            <sz val="9"/>
            <color indexed="81"/>
            <rFont val="Tahoma"/>
            <family val="2"/>
          </rPr>
          <t xml:space="preserve">
輸入每月可享例假</t>
        </r>
      </text>
    </comment>
    <comment ref="AP2" authorId="0" shapeId="0" xr:uid="{5EA7B91A-E0D3-4E76-9D88-777DDCE9EA17}">
      <text>
        <r>
          <rPr>
            <b/>
            <sz val="9"/>
            <color indexed="81"/>
            <rFont val="Tahoma"/>
            <family val="2"/>
          </rPr>
          <t>CherryChan:</t>
        </r>
        <r>
          <rPr>
            <sz val="9"/>
            <color indexed="81"/>
            <rFont val="Tahoma"/>
            <family val="2"/>
          </rPr>
          <t xml:space="preserve">
VLOOKUP上月"本月剩餘DO"
</t>
        </r>
      </text>
    </comment>
    <comment ref="AR2" authorId="0" shapeId="0" xr:uid="{03DBF8AA-00F7-47EC-A36C-389961EFA96F}">
      <text>
        <r>
          <rPr>
            <b/>
            <sz val="9"/>
            <color indexed="81"/>
            <rFont val="Tahoma"/>
            <family val="2"/>
          </rPr>
          <t>CherryChan:</t>
        </r>
        <r>
          <rPr>
            <sz val="9"/>
            <color indexed="81"/>
            <rFont val="Tahoma"/>
            <family val="2"/>
          </rPr>
          <t xml:space="preserve">
輸入每月可享SH/PH
</t>
        </r>
      </text>
    </comment>
    <comment ref="AS2" authorId="0" shapeId="0" xr:uid="{A2376319-E73F-4571-B424-CA09B540BE4B}">
      <text>
        <r>
          <rPr>
            <b/>
            <sz val="9"/>
            <color indexed="81"/>
            <rFont val="Tahoma"/>
            <family val="2"/>
          </rPr>
          <t>CherryChan:</t>
        </r>
        <r>
          <rPr>
            <sz val="9"/>
            <color indexed="81"/>
            <rFont val="Tahoma"/>
            <family val="2"/>
          </rPr>
          <t xml:space="preserve">
VLOOKUP上月＂本月剩餘PH/SH＂</t>
        </r>
      </text>
    </comment>
    <comment ref="AW2" authorId="0" shapeId="0" xr:uid="{BD34FC48-6CC8-448A-83B9-0506B5D758E4}">
      <text>
        <r>
          <rPr>
            <b/>
            <sz val="12"/>
            <color indexed="81"/>
            <rFont val="Tahoma"/>
            <family val="2"/>
          </rPr>
          <t>CherryChan:</t>
        </r>
        <r>
          <rPr>
            <sz val="12"/>
            <color indexed="81"/>
            <rFont val="Tahoma"/>
            <family val="2"/>
          </rPr>
          <t xml:space="preserve">
過試用期後可享年假
每月最多2次
以100%日薪計算
</t>
        </r>
      </text>
    </comment>
    <comment ref="AZ2" authorId="0" shapeId="0" xr:uid="{FFD5E2B9-4611-497C-93CE-4806152EA16C}">
      <text>
        <r>
          <rPr>
            <b/>
            <sz val="12"/>
            <color indexed="81"/>
            <rFont val="Tahoma"/>
            <family val="2"/>
          </rPr>
          <t>CherryChan:</t>
        </r>
        <r>
          <rPr>
            <sz val="12"/>
            <color indexed="81"/>
            <rFont val="Tahoma"/>
            <family val="2"/>
          </rPr>
          <t xml:space="preserve">
過試用期後可享年假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<sst xmlns="http://schemas.openxmlformats.org/spreadsheetml/2006/main" count="1894" uniqueCount="261">
  <si>
    <t xml:space="preserve"> </t>
  </si>
  <si>
    <t>迎進生活 2026年 6 月 1/F, 2/F, 6/F  護士/保健員/健康照顧大使更期表
登記護士本月例假 6天 + 公眾假期 1天/ 保健員及健康照顧大使本月例假 6天 + 法定假期 1天
輸入護理員 本月例假 4 天 + 法定假期 1天</t>
  </si>
  <si>
    <t>請各同事覆檢大假日子是否正確；
每名同工只可申請五天A/P/DO 更期；</t>
  </si>
  <si>
    <t>補鐘總結
EN/PCW/HW/RA 
每9小時補一日</t>
  </si>
  <si>
    <r>
      <rPr>
        <b/>
        <sz val="16"/>
        <rFont val="新細明體"/>
        <family val="1"/>
        <charset val="136"/>
      </rPr>
      <t>例假</t>
    </r>
    <r>
      <rPr>
        <b/>
        <sz val="16"/>
        <rFont val="Times New Roman"/>
        <family val="1"/>
      </rPr>
      <t>/</t>
    </r>
    <r>
      <rPr>
        <b/>
        <sz val="16"/>
        <rFont val="新細明體"/>
        <family val="1"/>
        <charset val="136"/>
      </rPr>
      <t>公眾假總結</t>
    </r>
  </si>
  <si>
    <r>
      <rPr>
        <b/>
        <sz val="18"/>
        <rFont val="新細明體"/>
        <family val="1"/>
        <charset val="136"/>
      </rPr>
      <t>病假</t>
    </r>
    <r>
      <rPr>
        <b/>
        <sz val="18"/>
        <rFont val="Times New Roman"/>
        <family val="1"/>
      </rPr>
      <t>/</t>
    </r>
    <r>
      <rPr>
        <b/>
        <sz val="18"/>
        <rFont val="細明體"/>
        <family val="1"/>
        <charset val="136"/>
      </rPr>
      <t>年</t>
    </r>
    <r>
      <rPr>
        <b/>
        <sz val="18"/>
        <rFont val="新細明體"/>
        <family val="1"/>
        <charset val="136"/>
      </rPr>
      <t>假總結</t>
    </r>
  </si>
  <si>
    <t>一</t>
  </si>
  <si>
    <t>二</t>
  </si>
  <si>
    <t>三</t>
  </si>
  <si>
    <t>四</t>
  </si>
  <si>
    <t>五</t>
  </si>
  <si>
    <t>六</t>
  </si>
  <si>
    <t>日</t>
  </si>
  <si>
    <t>DO
總數</t>
  </si>
  <si>
    <t>上月帶落
補鐘</t>
  </si>
  <si>
    <t>本月N更
補鐘</t>
  </si>
  <si>
    <t>本月已取CL</t>
  </si>
  <si>
    <t>剩餘
補鐘</t>
  </si>
  <si>
    <t>本月可享DO</t>
    <phoneticPr fontId="20" type="noConversion"/>
  </si>
  <si>
    <t>上月
帶落DO</t>
    <phoneticPr fontId="20" type="noConversion"/>
  </si>
  <si>
    <t>本月剩餘DO</t>
  </si>
  <si>
    <t>本月可享PH/SH</t>
  </si>
  <si>
    <t>上月
帶落PH/SH</t>
  </si>
  <si>
    <t>已放
PH/SH</t>
  </si>
  <si>
    <t>本月剩餘PH/SH</t>
  </si>
  <si>
    <t>2021-2022
年SL總數</t>
  </si>
  <si>
    <t>SL
總數</t>
    <phoneticPr fontId="20" type="noConversion"/>
  </si>
  <si>
    <t>剩餘
總數</t>
  </si>
  <si>
    <t>2021-2022
年AL總數</t>
  </si>
  <si>
    <t>AL
總數</t>
  </si>
  <si>
    <t>CL
總數</t>
    <phoneticPr fontId="20" type="noConversion"/>
  </si>
  <si>
    <t>職級</t>
  </si>
  <si>
    <t>姓名</t>
  </si>
  <si>
    <t>ST</t>
  </si>
  <si>
    <t>VMO/OT/PT/outing</t>
  </si>
  <si>
    <t>PT</t>
  </si>
  <si>
    <t>VMO/ 3pm走火警</t>
  </si>
  <si>
    <t>VMO/OT/PT</t>
  </si>
  <si>
    <t xml:space="preserve"> Nurse M.</t>
  </si>
  <si>
    <t>VMO</t>
  </si>
  <si>
    <t>ST/DH med</t>
  </si>
  <si>
    <t>DH Talk</t>
  </si>
  <si>
    <t>SRN</t>
  </si>
  <si>
    <t>邵純希</t>
  </si>
  <si>
    <t>D</t>
  </si>
  <si>
    <t>DO</t>
  </si>
  <si>
    <t>PH11</t>
  </si>
  <si>
    <t>#</t>
  </si>
  <si>
    <t>RN</t>
  </si>
  <si>
    <t>何曉兒</t>
  </si>
  <si>
    <t>DO1</t>
  </si>
  <si>
    <t>DO2</t>
  </si>
  <si>
    <t>DO3</t>
  </si>
  <si>
    <t>DO4</t>
  </si>
  <si>
    <t>DO5</t>
  </si>
  <si>
    <t>DO6</t>
  </si>
  <si>
    <t>1/F</t>
  </si>
  <si>
    <t>LDD</t>
  </si>
  <si>
    <t>游美儀</t>
  </si>
  <si>
    <t>劉莉</t>
  </si>
  <si>
    <t>陶濤</t>
  </si>
  <si>
    <t>EN</t>
  </si>
  <si>
    <t>吳碧柔</t>
  </si>
  <si>
    <t>A#</t>
  </si>
  <si>
    <t>2/F P</t>
  </si>
  <si>
    <t>Run A</t>
  </si>
  <si>
    <t>1,6/F A</t>
  </si>
  <si>
    <t>6/F P</t>
  </si>
  <si>
    <t>A</t>
  </si>
  <si>
    <t>P</t>
  </si>
  <si>
    <t>R</t>
  </si>
  <si>
    <t xml:space="preserve">R </t>
  </si>
  <si>
    <t>6/F</t>
  </si>
  <si>
    <t>DRUG</t>
  </si>
  <si>
    <t>文翠珊</t>
  </si>
  <si>
    <t>P#</t>
  </si>
  <si>
    <t>DO7</t>
  </si>
  <si>
    <t>A/N#</t>
  </si>
  <si>
    <t>HW</t>
  </si>
  <si>
    <t>余靜恬</t>
  </si>
  <si>
    <t>SH9</t>
  </si>
  <si>
    <t>A#/N#</t>
  </si>
  <si>
    <t>N#</t>
  </si>
  <si>
    <t>S</t>
  </si>
  <si>
    <t>6/F R</t>
  </si>
  <si>
    <t>黃翠瑩</t>
  </si>
  <si>
    <t>A/N</t>
  </si>
  <si>
    <t>N</t>
  </si>
  <si>
    <t xml:space="preserve">  </t>
  </si>
  <si>
    <t>外判</t>
  </si>
  <si>
    <t>Run P</t>
  </si>
  <si>
    <t>1/F P</t>
  </si>
  <si>
    <t>2/F</t>
  </si>
  <si>
    <t>BL PM</t>
  </si>
  <si>
    <t>陳諾霖</t>
  </si>
  <si>
    <t>7-11</t>
  </si>
  <si>
    <t>AL</t>
  </si>
  <si>
    <t>2/F#</t>
  </si>
  <si>
    <t>HW I</t>
  </si>
  <si>
    <t>劉德城</t>
  </si>
  <si>
    <t>P  (早返)</t>
  </si>
  <si>
    <t>劉麗</t>
  </si>
  <si>
    <t>陳淑賢</t>
  </si>
  <si>
    <t>a/v</t>
  </si>
  <si>
    <t>PT HW</t>
  </si>
  <si>
    <t>陳思蕙</t>
  </si>
  <si>
    <t xml:space="preserve">Runner </t>
  </si>
  <si>
    <t>LN</t>
  </si>
  <si>
    <t>陳艷軍</t>
  </si>
  <si>
    <t>CO1</t>
  </si>
  <si>
    <t>CO2</t>
  </si>
  <si>
    <t>CO3</t>
  </si>
  <si>
    <t>CO4</t>
  </si>
  <si>
    <t>CO5</t>
  </si>
  <si>
    <t>CO6</t>
  </si>
  <si>
    <t>Quoto for</t>
  </si>
  <si>
    <t>request O</t>
  </si>
  <si>
    <t>2</t>
  </si>
  <si>
    <t>1</t>
  </si>
  <si>
    <t>3</t>
  </si>
  <si>
    <t>保健員 (兼職)</t>
  </si>
  <si>
    <t>outing</t>
  </si>
  <si>
    <t>BL</t>
  </si>
  <si>
    <t>+2</t>
  </si>
  <si>
    <t>HCA I</t>
  </si>
  <si>
    <t>何翠鳳</t>
  </si>
  <si>
    <t>P*</t>
  </si>
  <si>
    <t>10-7</t>
  </si>
  <si>
    <t>A/N*</t>
  </si>
  <si>
    <t xml:space="preserve">HCA </t>
  </si>
  <si>
    <t>林玉芳</t>
  </si>
  <si>
    <t>HCA</t>
  </si>
  <si>
    <t>李海嵐</t>
  </si>
  <si>
    <t>替假</t>
  </si>
  <si>
    <t>6/F7-7</t>
  </si>
  <si>
    <t>2/F 7-7</t>
  </si>
  <si>
    <t>王雅嵐</t>
  </si>
  <si>
    <t>梁萍娟</t>
  </si>
  <si>
    <t>謝美姍</t>
  </si>
  <si>
    <t>C</t>
  </si>
  <si>
    <t>AA</t>
  </si>
  <si>
    <t>6/F+C</t>
  </si>
  <si>
    <t>何秀文</t>
  </si>
  <si>
    <t>7A</t>
  </si>
  <si>
    <t>7P</t>
  </si>
  <si>
    <t>吳美娥</t>
  </si>
  <si>
    <t>譚素愛</t>
  </si>
  <si>
    <t>7P#</t>
  </si>
  <si>
    <t>梁偉連</t>
  </si>
  <si>
    <t>1/F #</t>
  </si>
  <si>
    <t>吳秀香</t>
  </si>
  <si>
    <t>7A#</t>
  </si>
  <si>
    <t>古業心</t>
  </si>
  <si>
    <t>黃二妹</t>
  </si>
  <si>
    <t>1/F#</t>
  </si>
  <si>
    <t>叶雪雁</t>
  </si>
  <si>
    <t>1/F 7-7</t>
  </si>
  <si>
    <t>王惠英</t>
  </si>
  <si>
    <t>馮美華</t>
  </si>
  <si>
    <t>顏織英</t>
  </si>
  <si>
    <t>張艷紅</t>
  </si>
  <si>
    <t>6/F#</t>
  </si>
  <si>
    <t xml:space="preserve">謝小群 </t>
  </si>
  <si>
    <t>古業珍</t>
  </si>
  <si>
    <t>7A*</t>
  </si>
  <si>
    <t>禤艷琼</t>
  </si>
  <si>
    <t>張国候</t>
  </si>
  <si>
    <t>林少娟</t>
  </si>
  <si>
    <t>2A+A+p</t>
  </si>
  <si>
    <t>3A</t>
  </si>
  <si>
    <t>3A+P</t>
  </si>
  <si>
    <t>2A+A+P</t>
  </si>
  <si>
    <t>3A+A+P</t>
  </si>
  <si>
    <t>4A</t>
  </si>
  <si>
    <t>2A</t>
  </si>
  <si>
    <t>DO / SH</t>
  </si>
  <si>
    <t>SL</t>
  </si>
  <si>
    <t>SL = 病假    PH = 公眾假期    SH = 法定假期    DO = 例假   CO = 補假   AL = 年假    T = 院外培訓    MTL = 產假    NPL = 無薪假    BL = 生日假    ML = 恩恤假</t>
  </si>
  <si>
    <t xml:space="preserve">D: </t>
  </si>
  <si>
    <t>09:00 - 18:00</t>
  </si>
  <si>
    <t xml:space="preserve">P: </t>
  </si>
  <si>
    <t>12:30 - 21:30</t>
  </si>
  <si>
    <t>A/N:</t>
  </si>
  <si>
    <t xml:space="preserve">07:00 - 14:30 (用膳時間30分鐘) &amp; 21:15 - 07:15 </t>
  </si>
  <si>
    <t>9A:</t>
  </si>
  <si>
    <t>0900 - 2100</t>
  </si>
  <si>
    <t>樓宇消防安全特使/大使</t>
  </si>
  <si>
    <t xml:space="preserve">A: </t>
  </si>
  <si>
    <t>07:00 - 16:00</t>
  </si>
  <si>
    <t xml:space="preserve">N: </t>
  </si>
  <si>
    <t>21:15 - 07:15</t>
  </si>
  <si>
    <t>7A:</t>
  </si>
  <si>
    <t>07:00 - 19:00</t>
  </si>
  <si>
    <t>7P:</t>
  </si>
  <si>
    <t>19:00 - 07:00</t>
  </si>
  <si>
    <t>9P:</t>
  </si>
  <si>
    <t>2100 - 0900</t>
  </si>
  <si>
    <t>Remark</t>
  </si>
  <si>
    <t xml:space="preserve">Yellow : Extend working time </t>
  </si>
  <si>
    <t>Orange: AA (assist exercise )</t>
  </si>
  <si>
    <t>Runner</t>
  </si>
  <si>
    <t>Purple : C ( canteen)</t>
  </si>
  <si>
    <t xml:space="preserve">Blue: Compensatory working time </t>
  </si>
  <si>
    <t>Green : Talk attendant</t>
  </si>
  <si>
    <t xml:space="preserve">編更者：RN Luna HO / Super Intendent: Franklin Man </t>
  </si>
  <si>
    <t>覆核者：Super Intendent : Franklin Man</t>
  </si>
  <si>
    <t>Vacancy</t>
  </si>
  <si>
    <t>30-7</t>
  </si>
  <si>
    <t>23</t>
  </si>
  <si>
    <t>X70%</t>
  </si>
  <si>
    <t>May</t>
  </si>
  <si>
    <t>Jun</t>
  </si>
  <si>
    <t xml:space="preserve">July </t>
  </si>
  <si>
    <t>=</t>
  </si>
  <si>
    <t>16 x3</t>
  </si>
  <si>
    <t>48 shift(8 hrs)</t>
  </si>
  <si>
    <t>OR</t>
  </si>
  <si>
    <t>32 shift(12hrs)</t>
  </si>
  <si>
    <t>384 hrs</t>
  </si>
  <si>
    <t>d</t>
  </si>
  <si>
    <t>Leave Record</t>
    <phoneticPr fontId="20" type="noConversion"/>
  </si>
  <si>
    <t>AL :</t>
    <phoneticPr fontId="20" type="noConversion"/>
  </si>
  <si>
    <r>
      <rPr>
        <b/>
        <sz val="12"/>
        <color theme="1"/>
        <rFont val="微軟正黑體"/>
        <family val="2"/>
        <charset val="136"/>
      </rPr>
      <t>年假</t>
    </r>
    <r>
      <rPr>
        <b/>
        <sz val="12"/>
        <color theme="1"/>
        <rFont val="Arial"/>
        <family val="2"/>
      </rPr>
      <t>-</t>
    </r>
    <r>
      <rPr>
        <b/>
        <sz val="12"/>
        <color theme="1"/>
        <rFont val="微軟正黑體"/>
        <family val="2"/>
        <charset val="136"/>
      </rPr>
      <t>全日</t>
    </r>
    <phoneticPr fontId="20" type="noConversion"/>
  </si>
  <si>
    <t>SL :</t>
    <phoneticPr fontId="20" type="noConversion"/>
  </si>
  <si>
    <t>病假-全日</t>
    <phoneticPr fontId="20" type="noConversion"/>
  </si>
  <si>
    <t>CL :</t>
    <phoneticPr fontId="20" type="noConversion"/>
  </si>
  <si>
    <t>補假-全日</t>
    <phoneticPr fontId="20" type="noConversion"/>
  </si>
  <si>
    <t>員工編號</t>
    <phoneticPr fontId="20" type="noConversion"/>
  </si>
  <si>
    <t>Month:</t>
    <phoneticPr fontId="20" type="noConversion"/>
  </si>
  <si>
    <t>7/2021</t>
  </si>
  <si>
    <t>AL1 :</t>
    <phoneticPr fontId="20" type="noConversion"/>
  </si>
  <si>
    <t>年假-AM</t>
    <phoneticPr fontId="20" type="noConversion"/>
  </si>
  <si>
    <t>SL1 :</t>
    <phoneticPr fontId="20" type="noConversion"/>
  </si>
  <si>
    <t>CL1 :</t>
    <phoneticPr fontId="20" type="noConversion"/>
  </si>
  <si>
    <t>補假-AM</t>
    <phoneticPr fontId="20" type="noConversion"/>
  </si>
  <si>
    <t>AL2 :</t>
    <phoneticPr fontId="20" type="noConversion"/>
  </si>
  <si>
    <t>年假-PM</t>
    <phoneticPr fontId="20" type="noConversion"/>
  </si>
  <si>
    <t>SL2 :</t>
    <phoneticPr fontId="20" type="noConversion"/>
  </si>
  <si>
    <r>
      <rPr>
        <b/>
        <sz val="12"/>
        <color theme="1"/>
        <rFont val="微軟正黑體"/>
        <family val="2"/>
        <charset val="136"/>
      </rPr>
      <t>年假</t>
    </r>
    <r>
      <rPr>
        <b/>
        <sz val="12"/>
        <color theme="1"/>
        <rFont val="Arial"/>
        <family val="2"/>
      </rPr>
      <t>-PM</t>
    </r>
    <phoneticPr fontId="20" type="noConversion"/>
  </si>
  <si>
    <t>CL2 :</t>
    <phoneticPr fontId="20" type="noConversion"/>
  </si>
  <si>
    <r>
      <rPr>
        <b/>
        <sz val="12"/>
        <color theme="1"/>
        <rFont val="微軟正黑體"/>
        <family val="2"/>
        <charset val="136"/>
      </rPr>
      <t>補假</t>
    </r>
    <r>
      <rPr>
        <b/>
        <sz val="12"/>
        <color theme="1"/>
        <rFont val="Arial"/>
        <family val="2"/>
      </rPr>
      <t>-PM</t>
    </r>
    <phoneticPr fontId="20" type="noConversion"/>
  </si>
  <si>
    <t>For Shorting</t>
  </si>
  <si>
    <r>
      <rPr>
        <b/>
        <sz val="16"/>
        <color theme="1"/>
        <rFont val="微軟正黑體"/>
        <family val="2"/>
        <charset val="136"/>
      </rPr>
      <t>員工編號</t>
    </r>
    <phoneticPr fontId="20" type="noConversion"/>
  </si>
  <si>
    <r>
      <rPr>
        <b/>
        <sz val="16"/>
        <color theme="1"/>
        <rFont val="微軟正黑體"/>
        <family val="2"/>
        <charset val="136"/>
      </rPr>
      <t>姓名</t>
    </r>
    <phoneticPr fontId="20" type="noConversion"/>
  </si>
  <si>
    <r>
      <rPr>
        <b/>
        <sz val="16"/>
        <color theme="1"/>
        <rFont val="微軟正黑體"/>
        <family val="2"/>
        <charset val="136"/>
      </rPr>
      <t>假期記錄</t>
    </r>
    <phoneticPr fontId="20" type="noConversion"/>
  </si>
  <si>
    <t>Leave Record</t>
  </si>
  <si>
    <t>eLeave</t>
  </si>
  <si>
    <t>AL</t>
    <phoneticPr fontId="20" type="noConversion"/>
  </si>
  <si>
    <t>AL1</t>
    <phoneticPr fontId="20" type="noConversion"/>
  </si>
  <si>
    <t>AL2</t>
    <phoneticPr fontId="20" type="noConversion"/>
  </si>
  <si>
    <t>SL</t>
    <phoneticPr fontId="20" type="noConversion"/>
  </si>
  <si>
    <t>SL1</t>
    <phoneticPr fontId="20" type="noConversion"/>
  </si>
  <si>
    <t>SL2</t>
    <phoneticPr fontId="20" type="noConversion"/>
  </si>
  <si>
    <t>CL</t>
    <phoneticPr fontId="20" type="noConversion"/>
  </si>
  <si>
    <t>CL1</t>
    <phoneticPr fontId="20" type="noConversion"/>
  </si>
  <si>
    <t>CL2</t>
    <phoneticPr fontId="20" type="noConversion"/>
  </si>
  <si>
    <t>PH</t>
    <phoneticPr fontId="20" type="noConversion"/>
  </si>
  <si>
    <r>
      <t xml:space="preserve">AL </t>
    </r>
    <r>
      <rPr>
        <b/>
        <sz val="14"/>
        <color theme="1"/>
        <rFont val="微軟正黑體"/>
        <family val="2"/>
        <charset val="136"/>
      </rPr>
      <t>年假</t>
    </r>
    <r>
      <rPr>
        <b/>
        <sz val="14"/>
        <color theme="1"/>
        <rFont val="Arial"/>
        <family val="2"/>
      </rPr>
      <t xml:space="preserve"> :</t>
    </r>
    <phoneticPr fontId="20" type="noConversion"/>
  </si>
  <si>
    <r>
      <t>SL</t>
    </r>
    <r>
      <rPr>
        <b/>
        <sz val="14"/>
        <color theme="1"/>
        <rFont val="微軟正黑體"/>
        <family val="2"/>
        <charset val="136"/>
      </rPr>
      <t>病假</t>
    </r>
    <r>
      <rPr>
        <b/>
        <sz val="14"/>
        <color theme="1"/>
        <rFont val="Arial"/>
        <family val="2"/>
      </rPr>
      <t xml:space="preserve"> :</t>
    </r>
    <phoneticPr fontId="20" type="noConversion"/>
  </si>
  <si>
    <r>
      <t>CL</t>
    </r>
    <r>
      <rPr>
        <b/>
        <sz val="14"/>
        <color theme="1"/>
        <rFont val="微軟正黑體"/>
        <family val="2"/>
        <charset val="136"/>
      </rPr>
      <t>補假</t>
    </r>
    <r>
      <rPr>
        <b/>
        <sz val="14"/>
        <color theme="1"/>
        <rFont val="Arial"/>
        <family val="2"/>
      </rPr>
      <t xml:space="preserve"> :</t>
    </r>
    <phoneticPr fontId="20" type="noConversion"/>
  </si>
  <si>
    <t>員工簽署確認 :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</si>
</sst>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yyyy\-mm\-dd;@"/>
    <numFmt numFmtId="166" formatCode="0.0\ &quot;日&quot;"/>
    <numFmt numFmtId="167" formatCode="0.0_ "/>
    <numFmt numFmtId="168" formatCode="[$$-404]#,##0.00_);[Red]\([$$-404]#,##0.00\)"/>
    <numFmt numFmtId="169" formatCode="_ [$¥-804]* #,##0.00_ ;_ [$¥-804]* \-#,##0.00_ ;_ [$¥-804]* &quot;-&quot;??_ ;_ @_ "/>
  </numFmts>
  <fonts count="10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rgb="FFFF0000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6"/>
      <name val="新細明體"/>
      <family val="1"/>
      <charset val="136"/>
    </font>
    <font>
      <b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name val="細明體"/>
      <family val="3"/>
      <charset val="136"/>
    </font>
    <font>
      <sz val="24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sz val="9"/>
      <name val="Calibri"/>
      <family val="3"/>
      <charset val="136"/>
      <scheme val="minor"/>
    </font>
    <font>
      <sz val="10"/>
      <name val="Microsoft JhengHei UI"/>
      <family val="2"/>
      <charset val="136"/>
    </font>
    <font>
      <sz val="12"/>
      <name val="宋体"/>
      <charset val="134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微軟正黑體"/>
      <family val="2"/>
      <charset val="136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rial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1"/>
      <color rgb="FFC00000"/>
      <name val="Arial"/>
      <family val="2"/>
    </font>
    <font>
      <sz val="11"/>
      <color theme="0" tint="-0.34998626667073579"/>
      <name val="Arial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18"/>
      <name val="Times New Roman"/>
      <family val="1"/>
    </font>
    <font>
      <b/>
      <sz val="18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6"/>
      <color rgb="FFFF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b/>
      <sz val="18"/>
      <name val="Times New Roman"/>
      <family val="1"/>
      <charset val="136"/>
    </font>
    <font>
      <b/>
      <sz val="18"/>
      <name val="細明體"/>
      <family val="1"/>
      <charset val="136"/>
    </font>
    <font>
      <b/>
      <sz val="16"/>
      <name val="Times New Roman"/>
      <family val="1"/>
      <charset val="136"/>
    </font>
    <font>
      <sz val="12"/>
      <name val="Times New Roman"/>
      <family val="1"/>
    </font>
    <font>
      <b/>
      <sz val="14"/>
      <color theme="1"/>
      <name val="Times New Roman"/>
      <family val="1"/>
    </font>
    <font>
      <sz val="22"/>
      <color theme="1"/>
      <name val="Times New Roman"/>
      <family val="1"/>
    </font>
    <font>
      <b/>
      <sz val="14"/>
      <name val="Times New Roman"/>
      <family val="1"/>
    </font>
    <font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22"/>
      <color theme="1"/>
      <name val="Yu Gothic"/>
      <family val="2"/>
    </font>
    <font>
      <sz val="22"/>
      <name val="Yu Gothic"/>
      <family val="2"/>
    </font>
    <font>
      <sz val="16"/>
      <color rgb="FF242424"/>
      <name val="Times New Roman"/>
      <family val="1"/>
    </font>
    <font>
      <sz val="15"/>
      <name val="Times New Roman"/>
      <family val="1"/>
    </font>
    <font>
      <b/>
      <sz val="15"/>
      <name val="Yu Gothic UI Semibold"/>
      <family val="2"/>
    </font>
    <font>
      <b/>
      <sz val="10"/>
      <color theme="1"/>
      <name val="新細明體"/>
      <family val="1"/>
      <charset val="136"/>
    </font>
    <font>
      <b/>
      <sz val="10"/>
      <color theme="1"/>
      <name val="Times New Roman"/>
      <family val="1"/>
    </font>
    <font>
      <b/>
      <sz val="9"/>
      <color theme="1"/>
      <name val="新細明體"/>
      <family val="1"/>
      <charset val="136"/>
    </font>
    <font>
      <b/>
      <sz val="9"/>
      <color theme="1"/>
      <name val="Times New Roman"/>
      <family val="1"/>
    </font>
    <font>
      <b/>
      <sz val="16"/>
      <color rgb="FF000000"/>
      <name val="新細明體"/>
      <family val="1"/>
      <charset val="136"/>
    </font>
    <font>
      <sz val="13"/>
      <name val="Times New Roman"/>
      <family val="1"/>
    </font>
    <font>
      <sz val="11"/>
      <color theme="1"/>
      <name val="Arial Narrow"/>
      <family val="2"/>
    </font>
    <font>
      <sz val="18"/>
      <color rgb="FF000000"/>
      <name val="Times New Roman"/>
      <family val="1"/>
    </font>
    <font>
      <sz val="20"/>
      <color theme="1"/>
      <name val="Times New Roman"/>
      <family val="1"/>
    </font>
    <font>
      <sz val="16"/>
      <name val="新細明體"/>
      <family val="1"/>
      <charset val="136"/>
    </font>
    <font>
      <sz val="14"/>
      <name val="新細明體"/>
      <family val="1"/>
      <charset val="136"/>
    </font>
    <font>
      <strike/>
      <sz val="15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5"/>
      <name val="Times New Roman"/>
      <family val="1"/>
    </font>
    <font>
      <sz val="15"/>
      <name val="Times New Roman"/>
      <family val="1"/>
      <charset val="136"/>
    </font>
    <font>
      <sz val="12"/>
      <name val="Times New Roman"/>
      <family val="1"/>
      <charset val="136"/>
    </font>
    <font>
      <sz val="15"/>
      <color rgb="FFFF0000"/>
      <name val="Times New Roman"/>
      <family val="1"/>
    </font>
    <font>
      <sz val="15"/>
      <color theme="1" tint="0.14999847407452621"/>
      <name val="Times New Roman"/>
      <family val="1"/>
    </font>
    <font>
      <sz val="16"/>
      <color theme="1"/>
      <name val="新細明體"/>
      <family val="1"/>
      <charset val="136"/>
    </font>
    <font>
      <b/>
      <sz val="12"/>
      <color rgb="FF262626"/>
      <name val="新細明體"/>
      <family val="1"/>
      <charset val="136"/>
    </font>
    <font>
      <sz val="15"/>
      <color rgb="FF000000"/>
      <name val="Times New Roman"/>
      <family val="1"/>
    </font>
    <font>
      <sz val="15"/>
      <color theme="1" tint="4.9989318521683403E-2"/>
      <name val="Times New Roman"/>
      <family val="1"/>
    </font>
    <font>
      <sz val="26"/>
      <color rgb="FF000000"/>
      <name val="Times New Roman"/>
      <family val="1"/>
    </font>
    <font>
      <sz val="24"/>
      <color rgb="FF000000"/>
      <name val="Times New Roman"/>
      <family val="1"/>
    </font>
    <font>
      <sz val="15"/>
      <color theme="1"/>
      <name val="Times New Roman"/>
      <family val="1"/>
    </font>
    <font>
      <sz val="20"/>
      <color rgb="FF000000"/>
      <name val="Times New Roman"/>
      <family val="1"/>
    </font>
    <font>
      <sz val="15"/>
      <color rgb="FFFF0000"/>
      <name val="Times New Roman"/>
      <family val="1"/>
      <charset val="136"/>
    </font>
    <font>
      <sz val="16"/>
      <color theme="4"/>
      <name val="Times New Roman"/>
      <family val="1"/>
    </font>
    <font>
      <sz val="15"/>
      <color theme="4"/>
      <name val="Times New Roman"/>
      <family val="1"/>
    </font>
    <font>
      <sz val="12"/>
      <color theme="1"/>
      <name val="新細明體"/>
      <family val="1"/>
      <charset val="136"/>
    </font>
    <font>
      <sz val="15"/>
      <color theme="7"/>
      <name val="Times New Roman"/>
      <family val="1"/>
    </font>
    <font>
      <sz val="18"/>
      <color theme="1"/>
      <name val="Times New Roman"/>
      <family val="1"/>
    </font>
    <font>
      <sz val="15"/>
      <color rgb="FF242424"/>
      <name val="Calibri Light"/>
      <scheme val="maj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DDC6EE"/>
        <bgColor indexed="64"/>
      </patternFill>
    </fill>
    <fill>
      <patternFill patternType="solid">
        <fgColor rgb="FFBBF4E4"/>
        <bgColor indexed="64"/>
      </patternFill>
    </fill>
    <fill>
      <patternFill patternType="solid">
        <fgColor rgb="FFFBCAD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9E9FA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CD91E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749992370372631"/>
        <bgColor indexed="64"/>
      </patternFill>
    </fill>
  </fills>
  <borders count="1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rgb="FF505050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 style="medium">
        <color indexed="64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/>
      <right style="thin">
        <color rgb="FF50505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50505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rgb="FF000000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double">
        <color rgb="FF000000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/>
      <bottom/>
      <diagonal/>
    </border>
    <border>
      <left style="thin">
        <color rgb="FF000000"/>
      </left>
      <right style="double">
        <color indexed="64"/>
      </right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rgb="FF000000"/>
      </top>
      <bottom/>
      <diagonal/>
    </border>
    <border>
      <left/>
      <right style="double">
        <color indexed="64"/>
      </right>
      <top/>
      <bottom style="medium">
        <color rgb="FF000000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rgb="FF000000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5050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rgb="FF000000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1">
    <xf numFmtId="0" fontId="0" fillId="0" borderId="0"/>
    <xf numFmtId="0" fontId="6" fillId="0" borderId="0"/>
    <xf numFmtId="0" fontId="22" fillId="0" borderId="0">
      <alignment vertical="center"/>
    </xf>
    <xf numFmtId="0" fontId="5" fillId="0" borderId="0">
      <alignment vertical="center"/>
    </xf>
    <xf numFmtId="0" fontId="21" fillId="0" borderId="0"/>
    <xf numFmtId="0" fontId="38" fillId="0" borderId="0"/>
    <xf numFmtId="0" fontId="4" fillId="0" borderId="0">
      <alignment vertical="center"/>
    </xf>
    <xf numFmtId="168" fontId="6" fillId="0" borderId="0">
      <alignment vertical="center"/>
    </xf>
    <xf numFmtId="169" fontId="4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169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69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69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>
      <alignment vertical="center"/>
    </xf>
  </cellStyleXfs>
  <cellXfs count="1047">
    <xf numFmtId="0" fontId="0" fillId="0" borderId="0" xfId="0"/>
    <xf numFmtId="0" fontId="8" fillId="0" borderId="0" xfId="1" applyFont="1"/>
    <xf numFmtId="0" fontId="9" fillId="0" borderId="0" xfId="0" applyFont="1"/>
    <xf numFmtId="0" fontId="10" fillId="0" borderId="0" xfId="0" applyFont="1"/>
    <xf numFmtId="0" fontId="8" fillId="0" borderId="2" xfId="1" applyFont="1" applyBorder="1"/>
    <xf numFmtId="0" fontId="8" fillId="0" borderId="2" xfId="1" applyFont="1" applyBorder="1" applyAlignment="1">
      <alignment horizontal="center" vertical="center"/>
    </xf>
    <xf numFmtId="164" fontId="10" fillId="0" borderId="0" xfId="0" applyNumberFormat="1" applyFont="1"/>
    <xf numFmtId="0" fontId="8" fillId="0" borderId="2" xfId="1" applyFont="1" applyBorder="1" applyAlignment="1">
      <alignment horizontal="center"/>
    </xf>
    <xf numFmtId="0" fontId="9" fillId="2" borderId="2" xfId="1" applyFont="1" applyFill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8" fillId="0" borderId="0" xfId="1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6" fillId="3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2" borderId="2" xfId="1" applyFont="1" applyFill="1" applyBorder="1" applyAlignment="1">
      <alignment horizontal="center" vertical="center"/>
    </xf>
    <xf numFmtId="0" fontId="10" fillId="5" borderId="0" xfId="0" applyFont="1" applyFill="1"/>
    <xf numFmtId="0" fontId="26" fillId="0" borderId="0" xfId="0" applyFont="1"/>
    <xf numFmtId="0" fontId="28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9" fillId="0" borderId="9" xfId="0" applyFont="1" applyBorder="1" applyAlignment="1">
      <alignment horizontal="center"/>
    </xf>
    <xf numFmtId="0" fontId="26" fillId="0" borderId="12" xfId="0" applyFont="1" applyBorder="1"/>
    <xf numFmtId="0" fontId="31" fillId="0" borderId="0" xfId="0" applyFont="1" applyAlignment="1">
      <alignment horizontal="center"/>
    </xf>
    <xf numFmtId="0" fontId="31" fillId="0" borderId="12" xfId="0" applyFont="1" applyBorder="1" applyAlignment="1">
      <alignment horizontal="center"/>
    </xf>
    <xf numFmtId="0" fontId="26" fillId="0" borderId="12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165" fontId="30" fillId="0" borderId="0" xfId="0" applyNumberFormat="1" applyFont="1" applyAlignment="1">
      <alignment horizontal="center"/>
    </xf>
    <xf numFmtId="165" fontId="30" fillId="0" borderId="10" xfId="0" applyNumberFormat="1" applyFont="1" applyBorder="1" applyAlignment="1">
      <alignment horizontal="center"/>
    </xf>
    <xf numFmtId="165" fontId="26" fillId="0" borderId="0" xfId="0" applyNumberFormat="1" applyFont="1"/>
    <xf numFmtId="0" fontId="28" fillId="0" borderId="0" xfId="0" applyFont="1" applyAlignment="1">
      <alignment horizontal="center"/>
    </xf>
    <xf numFmtId="0" fontId="29" fillId="7" borderId="0" xfId="0" applyFont="1" applyFill="1" applyAlignment="1">
      <alignment horizontal="center"/>
    </xf>
    <xf numFmtId="0" fontId="26" fillId="7" borderId="7" xfId="0" applyFont="1" applyFill="1" applyBorder="1"/>
    <xf numFmtId="0" fontId="29" fillId="7" borderId="7" xfId="0" applyFont="1" applyFill="1" applyBorder="1" applyAlignment="1">
      <alignment horizontal="center"/>
    </xf>
    <xf numFmtId="0" fontId="29" fillId="7" borderId="8" xfId="0" applyFont="1" applyFill="1" applyBorder="1" applyAlignment="1">
      <alignment horizontal="center"/>
    </xf>
    <xf numFmtId="0" fontId="29" fillId="7" borderId="6" xfId="0" applyFont="1" applyFill="1" applyBorder="1" applyAlignment="1">
      <alignment horizontal="center"/>
    </xf>
    <xf numFmtId="0" fontId="28" fillId="7" borderId="7" xfId="0" applyFont="1" applyFill="1" applyBorder="1" applyAlignment="1">
      <alignment horizontal="center"/>
    </xf>
    <xf numFmtId="0" fontId="27" fillId="0" borderId="0" xfId="0" applyFont="1"/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3" fillId="0" borderId="0" xfId="0" applyFont="1" applyAlignment="1">
      <alignment horizontal="right"/>
    </xf>
    <xf numFmtId="0" fontId="29" fillId="7" borderId="14" xfId="0" applyFont="1" applyFill="1" applyBorder="1" applyAlignment="1">
      <alignment horizontal="center"/>
    </xf>
    <xf numFmtId="165" fontId="30" fillId="0" borderId="15" xfId="0" applyNumberFormat="1" applyFont="1" applyBorder="1" applyAlignment="1">
      <alignment horizontal="center"/>
    </xf>
    <xf numFmtId="0" fontId="26" fillId="7" borderId="0" xfId="0" applyFont="1" applyFill="1" applyAlignment="1">
      <alignment horizontal="left"/>
    </xf>
    <xf numFmtId="0" fontId="29" fillId="0" borderId="0" xfId="0" applyFont="1" applyAlignment="1">
      <alignment horizontal="right"/>
    </xf>
    <xf numFmtId="166" fontId="29" fillId="0" borderId="0" xfId="0" applyNumberFormat="1" applyFont="1" applyAlignment="1">
      <alignment horizontal="left"/>
    </xf>
    <xf numFmtId="167" fontId="26" fillId="0" borderId="0" xfId="0" applyNumberFormat="1" applyFont="1"/>
    <xf numFmtId="0" fontId="32" fillId="0" borderId="11" xfId="0" applyFont="1" applyBorder="1" applyAlignment="1">
      <alignment horizontal="center"/>
    </xf>
    <xf numFmtId="165" fontId="30" fillId="0" borderId="16" xfId="0" applyNumberFormat="1" applyFont="1" applyBorder="1" applyAlignment="1">
      <alignment horizontal="center"/>
    </xf>
    <xf numFmtId="165" fontId="30" fillId="0" borderId="12" xfId="0" applyNumberFormat="1" applyFont="1" applyBorder="1" applyAlignment="1">
      <alignment horizontal="center"/>
    </xf>
    <xf numFmtId="165" fontId="30" fillId="0" borderId="13" xfId="0" applyNumberFormat="1" applyFont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26" fillId="8" borderId="0" xfId="0" applyFont="1" applyFill="1"/>
    <xf numFmtId="0" fontId="26" fillId="8" borderId="0" xfId="0" applyFont="1" applyFill="1" applyAlignment="1">
      <alignment horizontal="left"/>
    </xf>
    <xf numFmtId="0" fontId="29" fillId="7" borderId="2" xfId="0" applyFont="1" applyFill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23" fillId="0" borderId="0" xfId="0" applyFont="1"/>
    <xf numFmtId="0" fontId="39" fillId="0" borderId="0" xfId="0" applyFont="1" applyAlignment="1">
      <alignment horizontal="right"/>
    </xf>
    <xf numFmtId="0" fontId="40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1" fillId="0" borderId="19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8" fillId="3" borderId="0" xfId="0" applyFont="1" applyFill="1" applyAlignment="1" applyProtection="1">
      <alignment horizontal="center"/>
      <protection locked="0"/>
    </xf>
    <xf numFmtId="0" fontId="28" fillId="3" borderId="0" xfId="0" quotePrefix="1" applyFont="1" applyFill="1" applyAlignment="1" applyProtection="1">
      <alignment horizontal="center"/>
      <protection locked="0"/>
    </xf>
    <xf numFmtId="0" fontId="9" fillId="2" borderId="23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2" borderId="25" xfId="1" applyFont="1" applyFill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/>
    </xf>
    <xf numFmtId="0" fontId="9" fillId="2" borderId="27" xfId="1" applyFont="1" applyFill="1" applyBorder="1" applyAlignment="1">
      <alignment horizontal="center" vertical="center" wrapText="1"/>
    </xf>
    <xf numFmtId="0" fontId="9" fillId="2" borderId="28" xfId="1" applyFont="1" applyFill="1" applyBorder="1" applyAlignment="1">
      <alignment horizontal="center" vertical="center" wrapText="1"/>
    </xf>
    <xf numFmtId="0" fontId="9" fillId="2" borderId="29" xfId="1" applyFont="1" applyFill="1" applyBorder="1" applyAlignment="1">
      <alignment horizontal="center" vertical="center" wrapText="1"/>
    </xf>
    <xf numFmtId="0" fontId="8" fillId="0" borderId="4" xfId="1" applyFont="1" applyBorder="1" applyAlignment="1">
      <alignment horizontal="center"/>
    </xf>
    <xf numFmtId="0" fontId="9" fillId="6" borderId="4" xfId="1" applyFont="1" applyFill="1" applyBorder="1" applyAlignment="1" applyProtection="1">
      <alignment horizontal="center" vertical="center" wrapText="1"/>
      <protection locked="0"/>
    </xf>
    <xf numFmtId="0" fontId="9" fillId="2" borderId="4" xfId="1" applyFont="1" applyFill="1" applyBorder="1" applyAlignment="1">
      <alignment horizontal="center" vertical="center" wrapText="1"/>
    </xf>
    <xf numFmtId="0" fontId="14" fillId="6" borderId="4" xfId="1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9" fillId="2" borderId="33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 vertical="center" wrapText="1"/>
    </xf>
    <xf numFmtId="0" fontId="9" fillId="2" borderId="38" xfId="1" applyFont="1" applyFill="1" applyBorder="1" applyAlignment="1">
      <alignment horizontal="center" vertical="center" wrapText="1"/>
    </xf>
    <xf numFmtId="0" fontId="8" fillId="0" borderId="3" xfId="1" applyFont="1" applyBorder="1" applyAlignment="1">
      <alignment horizontal="center"/>
    </xf>
    <xf numFmtId="0" fontId="9" fillId="2" borderId="3" xfId="1" applyFont="1" applyFill="1" applyBorder="1" applyAlignment="1">
      <alignment horizontal="center" vertical="center" wrapText="1"/>
    </xf>
    <xf numFmtId="0" fontId="14" fillId="6" borderId="3" xfId="1" applyFont="1" applyFill="1" applyBorder="1" applyAlignment="1">
      <alignment horizontal="center" vertical="center" wrapText="1"/>
    </xf>
    <xf numFmtId="0" fontId="8" fillId="0" borderId="17" xfId="1" applyFont="1" applyBorder="1" applyAlignment="1">
      <alignment horizontal="center"/>
    </xf>
    <xf numFmtId="0" fontId="9" fillId="6" borderId="17" xfId="1" applyFont="1" applyFill="1" applyBorder="1" applyAlignment="1" applyProtection="1">
      <alignment horizontal="center" vertical="center" wrapText="1"/>
      <protection locked="0"/>
    </xf>
    <xf numFmtId="0" fontId="9" fillId="2" borderId="17" xfId="1" applyFont="1" applyFill="1" applyBorder="1" applyAlignment="1">
      <alignment horizontal="center" vertical="center" wrapText="1"/>
    </xf>
    <xf numFmtId="0" fontId="14" fillId="6" borderId="17" xfId="1" applyFont="1" applyFill="1" applyBorder="1" applyAlignment="1">
      <alignment horizontal="center" vertical="center" wrapText="1"/>
    </xf>
    <xf numFmtId="0" fontId="9" fillId="2" borderId="41" xfId="1" applyFont="1" applyFill="1" applyBorder="1" applyAlignment="1">
      <alignment horizontal="center" vertical="center" wrapText="1"/>
    </xf>
    <xf numFmtId="0" fontId="9" fillId="2" borderId="43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10" fillId="0" borderId="1" xfId="0" applyFont="1" applyBorder="1"/>
    <xf numFmtId="0" fontId="8" fillId="6" borderId="4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Border="1" applyAlignment="1" applyProtection="1">
      <alignment horizontal="center" vertical="center" wrapText="1"/>
      <protection locked="0"/>
    </xf>
    <xf numFmtId="0" fontId="9" fillId="6" borderId="31" xfId="1" applyFont="1" applyFill="1" applyBorder="1" applyAlignment="1" applyProtection="1">
      <alignment horizontal="center" vertical="center" wrapText="1"/>
      <protection locked="0"/>
    </xf>
    <xf numFmtId="0" fontId="9" fillId="0" borderId="37" xfId="1" applyFont="1" applyBorder="1" applyAlignment="1" applyProtection="1">
      <alignment horizontal="center" vertical="center" wrapText="1"/>
      <protection locked="0"/>
    </xf>
    <xf numFmtId="0" fontId="9" fillId="6" borderId="35" xfId="1" applyFont="1" applyFill="1" applyBorder="1" applyAlignment="1" applyProtection="1">
      <alignment horizontal="center" vertical="center" wrapText="1"/>
      <protection locked="0"/>
    </xf>
    <xf numFmtId="0" fontId="9" fillId="0" borderId="43" xfId="1" applyFont="1" applyBorder="1" applyAlignment="1" applyProtection="1">
      <alignment horizontal="center" vertical="center" wrapText="1"/>
      <protection locked="0"/>
    </xf>
    <xf numFmtId="0" fontId="9" fillId="6" borderId="41" xfId="1" applyFont="1" applyFill="1" applyBorder="1" applyAlignment="1" applyProtection="1">
      <alignment horizontal="center" vertical="center" wrapText="1"/>
      <protection locked="0"/>
    </xf>
    <xf numFmtId="0" fontId="8" fillId="6" borderId="17" xfId="1" applyFont="1" applyFill="1" applyBorder="1" applyAlignment="1" applyProtection="1">
      <alignment horizontal="center" vertical="center" wrapText="1"/>
      <protection locked="0"/>
    </xf>
    <xf numFmtId="0" fontId="10" fillId="0" borderId="48" xfId="0" applyFont="1" applyBorder="1"/>
    <xf numFmtId="0" fontId="50" fillId="6" borderId="17" xfId="1" applyFont="1" applyFill="1" applyBorder="1" applyAlignment="1">
      <alignment horizontal="center" vertical="center" wrapText="1"/>
    </xf>
    <xf numFmtId="0" fontId="9" fillId="2" borderId="30" xfId="1" applyFont="1" applyFill="1" applyBorder="1" applyAlignment="1">
      <alignment horizontal="center" vertical="center"/>
    </xf>
    <xf numFmtId="0" fontId="9" fillId="6" borderId="3" xfId="1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/>
    <xf numFmtId="0" fontId="45" fillId="0" borderId="0" xfId="9" applyFont="1" applyAlignment="1">
      <alignment vertical="center"/>
    </xf>
    <xf numFmtId="0" fontId="9" fillId="0" borderId="55" xfId="1" applyFont="1" applyBorder="1" applyAlignment="1" applyProtection="1">
      <alignment horizontal="center" vertical="center" wrapText="1"/>
      <protection locked="0"/>
    </xf>
    <xf numFmtId="0" fontId="9" fillId="6" borderId="46" xfId="1" applyFont="1" applyFill="1" applyBorder="1" applyAlignment="1" applyProtection="1">
      <alignment horizontal="center" vertical="center" wrapText="1"/>
      <protection locked="0"/>
    </xf>
    <xf numFmtId="0" fontId="9" fillId="6" borderId="47" xfId="1" applyFont="1" applyFill="1" applyBorder="1" applyAlignment="1" applyProtection="1">
      <alignment horizontal="center" vertical="center" wrapText="1"/>
      <protection locked="0"/>
    </xf>
    <xf numFmtId="0" fontId="9" fillId="2" borderId="46" xfId="1" applyFont="1" applyFill="1" applyBorder="1" applyAlignment="1">
      <alignment horizontal="center" vertical="center" wrapText="1"/>
    </xf>
    <xf numFmtId="0" fontId="14" fillId="6" borderId="46" xfId="1" applyFont="1" applyFill="1" applyBorder="1" applyAlignment="1">
      <alignment horizontal="center" vertical="center" wrapText="1"/>
    </xf>
    <xf numFmtId="0" fontId="57" fillId="0" borderId="17" xfId="1" applyFont="1" applyBorder="1" applyAlignment="1" applyProtection="1">
      <alignment horizontal="center"/>
      <protection locked="0"/>
    </xf>
    <xf numFmtId="0" fontId="57" fillId="0" borderId="3" xfId="1" applyFont="1" applyBorder="1" applyAlignment="1">
      <alignment horizontal="center"/>
    </xf>
    <xf numFmtId="0" fontId="51" fillId="0" borderId="4" xfId="1" applyFont="1" applyBorder="1" applyAlignment="1">
      <alignment horizontal="center" vertical="center"/>
    </xf>
    <xf numFmtId="0" fontId="51" fillId="0" borderId="17" xfId="1" applyFont="1" applyBorder="1" applyAlignment="1">
      <alignment horizontal="center" vertical="center"/>
    </xf>
    <xf numFmtId="0" fontId="53" fillId="0" borderId="0" xfId="0" applyFont="1"/>
    <xf numFmtId="0" fontId="53" fillId="2" borderId="17" xfId="1" applyFont="1" applyFill="1" applyBorder="1" applyAlignment="1">
      <alignment horizontal="center" vertical="center" wrapText="1"/>
    </xf>
    <xf numFmtId="0" fontId="53" fillId="2" borderId="41" xfId="1" applyFont="1" applyFill="1" applyBorder="1" applyAlignment="1">
      <alignment horizontal="center" vertical="center" wrapText="1"/>
    </xf>
    <xf numFmtId="0" fontId="53" fillId="2" borderId="43" xfId="1" applyFont="1" applyFill="1" applyBorder="1" applyAlignment="1">
      <alignment horizontal="center" vertical="center" wrapText="1"/>
    </xf>
    <xf numFmtId="0" fontId="53" fillId="2" borderId="10" xfId="1" applyFont="1" applyFill="1" applyBorder="1" applyAlignment="1">
      <alignment horizontal="center" vertical="center" wrapText="1"/>
    </xf>
    <xf numFmtId="0" fontId="58" fillId="0" borderId="0" xfId="0" applyFont="1"/>
    <xf numFmtId="0" fontId="53" fillId="0" borderId="0" xfId="0" applyFont="1" applyAlignment="1">
      <alignment horizontal="center"/>
    </xf>
    <xf numFmtId="0" fontId="51" fillId="0" borderId="3" xfId="1" applyFont="1" applyBorder="1" applyAlignment="1">
      <alignment horizontal="center"/>
    </xf>
    <xf numFmtId="0" fontId="8" fillId="0" borderId="46" xfId="1" applyFont="1" applyBorder="1" applyAlignment="1">
      <alignment horizontal="center"/>
    </xf>
    <xf numFmtId="0" fontId="15" fillId="0" borderId="4" xfId="1" applyFont="1" applyBorder="1" applyAlignment="1">
      <alignment horizontal="center"/>
    </xf>
    <xf numFmtId="0" fontId="57" fillId="0" borderId="17" xfId="1" applyFont="1" applyBorder="1" applyAlignment="1">
      <alignment horizontal="center"/>
    </xf>
    <xf numFmtId="0" fontId="51" fillId="0" borderId="17" xfId="1" applyFont="1" applyBorder="1" applyAlignment="1">
      <alignment horizontal="center"/>
    </xf>
    <xf numFmtId="0" fontId="8" fillId="6" borderId="3" xfId="1" applyFont="1" applyFill="1" applyBorder="1" applyAlignment="1" applyProtection="1">
      <alignment horizontal="center" vertical="center" wrapText="1"/>
      <protection locked="0"/>
    </xf>
    <xf numFmtId="0" fontId="60" fillId="0" borderId="0" xfId="9" applyFont="1" applyAlignment="1">
      <alignment vertical="center"/>
    </xf>
    <xf numFmtId="0" fontId="51" fillId="0" borderId="2" xfId="1" applyFont="1" applyBorder="1"/>
    <xf numFmtId="0" fontId="51" fillId="0" borderId="3" xfId="1" applyFont="1" applyBorder="1" applyAlignment="1">
      <alignment horizontal="center" vertical="center"/>
    </xf>
    <xf numFmtId="0" fontId="51" fillId="0" borderId="46" xfId="1" applyFont="1" applyBorder="1" applyAlignment="1">
      <alignment horizontal="center" vertical="center"/>
    </xf>
    <xf numFmtId="0" fontId="53" fillId="2" borderId="0" xfId="0" applyFont="1" applyFill="1"/>
    <xf numFmtId="0" fontId="10" fillId="0" borderId="42" xfId="0" applyFont="1" applyBorder="1"/>
    <xf numFmtId="0" fontId="53" fillId="0" borderId="42" xfId="0" applyFont="1" applyBorder="1"/>
    <xf numFmtId="0" fontId="10" fillId="0" borderId="32" xfId="0" applyFont="1" applyBorder="1"/>
    <xf numFmtId="0" fontId="10" fillId="2" borderId="42" xfId="0" applyFont="1" applyFill="1" applyBorder="1"/>
    <xf numFmtId="0" fontId="10" fillId="0" borderId="30" xfId="0" applyFont="1" applyBorder="1"/>
    <xf numFmtId="0" fontId="10" fillId="0" borderId="59" xfId="0" applyFont="1" applyBorder="1"/>
    <xf numFmtId="0" fontId="54" fillId="0" borderId="0" xfId="9" applyFont="1" applyAlignment="1">
      <alignment vertical="center" wrapText="1"/>
    </xf>
    <xf numFmtId="0" fontId="14" fillId="2" borderId="17" xfId="1" applyFont="1" applyFill="1" applyBorder="1" applyAlignment="1">
      <alignment horizontal="center" vertical="center" wrapText="1"/>
    </xf>
    <xf numFmtId="0" fontId="10" fillId="0" borderId="15" xfId="0" applyFont="1" applyBorder="1"/>
    <xf numFmtId="164" fontId="8" fillId="0" borderId="52" xfId="1" applyNumberFormat="1" applyFont="1" applyBorder="1"/>
    <xf numFmtId="164" fontId="60" fillId="0" borderId="52" xfId="1" applyNumberFormat="1" applyFont="1" applyBorder="1" applyAlignment="1">
      <alignment horizontal="center" vertical="center"/>
    </xf>
    <xf numFmtId="0" fontId="9" fillId="2" borderId="62" xfId="1" applyFont="1" applyFill="1" applyBorder="1" applyAlignment="1">
      <alignment horizontal="center" vertical="center" wrapText="1"/>
    </xf>
    <xf numFmtId="49" fontId="14" fillId="2" borderId="46" xfId="1" applyNumberFormat="1" applyFont="1" applyFill="1" applyBorder="1" applyAlignment="1">
      <alignment horizontal="center" wrapText="1"/>
    </xf>
    <xf numFmtId="49" fontId="14" fillId="2" borderId="55" xfId="1" applyNumberFormat="1" applyFont="1" applyFill="1" applyBorder="1" applyAlignment="1">
      <alignment horizontal="center" wrapText="1"/>
    </xf>
    <xf numFmtId="49" fontId="14" fillId="2" borderId="47" xfId="1" applyNumberFormat="1" applyFont="1" applyFill="1" applyBorder="1" applyAlignment="1">
      <alignment horizontal="center" wrapText="1"/>
    </xf>
    <xf numFmtId="49" fontId="24" fillId="11" borderId="46" xfId="1" applyNumberFormat="1" applyFont="1" applyFill="1" applyBorder="1" applyAlignment="1">
      <alignment horizontal="center" wrapText="1"/>
    </xf>
    <xf numFmtId="49" fontId="24" fillId="2" borderId="56" xfId="1" applyNumberFormat="1" applyFont="1" applyFill="1" applyBorder="1" applyAlignment="1">
      <alignment horizontal="center" wrapText="1"/>
    </xf>
    <xf numFmtId="49" fontId="24" fillId="2" borderId="46" xfId="1" applyNumberFormat="1" applyFont="1" applyFill="1" applyBorder="1" applyAlignment="1">
      <alignment horizontal="center" wrapText="1"/>
    </xf>
    <xf numFmtId="49" fontId="24" fillId="2" borderId="47" xfId="1" applyNumberFormat="1" applyFont="1" applyFill="1" applyBorder="1" applyAlignment="1">
      <alignment horizontal="center" wrapText="1"/>
    </xf>
    <xf numFmtId="49" fontId="24" fillId="2" borderId="55" xfId="1" applyNumberFormat="1" applyFont="1" applyFill="1" applyBorder="1" applyAlignment="1">
      <alignment horizontal="center" wrapText="1"/>
    </xf>
    <xf numFmtId="49" fontId="24" fillId="2" borderId="63" xfId="1" applyNumberFormat="1" applyFont="1" applyFill="1" applyBorder="1" applyAlignment="1">
      <alignment horizontal="center" wrapText="1"/>
    </xf>
    <xf numFmtId="164" fontId="10" fillId="2" borderId="0" xfId="0" applyNumberFormat="1" applyFont="1" applyFill="1"/>
    <xf numFmtId="164" fontId="10" fillId="2" borderId="0" xfId="0" applyNumberFormat="1" applyFont="1" applyFill="1" applyAlignment="1">
      <alignment horizontal="center"/>
    </xf>
    <xf numFmtId="0" fontId="52" fillId="0" borderId="3" xfId="1" applyFont="1" applyBorder="1" applyAlignment="1">
      <alignment horizontal="right" vertical="center"/>
    </xf>
    <xf numFmtId="0" fontId="52" fillId="0" borderId="4" xfId="1" applyFont="1" applyBorder="1" applyAlignment="1">
      <alignment horizontal="center"/>
    </xf>
    <xf numFmtId="0" fontId="59" fillId="0" borderId="0" xfId="0" applyFont="1"/>
    <xf numFmtId="0" fontId="14" fillId="0" borderId="0" xfId="1" applyFont="1" applyAlignment="1">
      <alignment horizontal="center" vertical="center" wrapText="1"/>
    </xf>
    <xf numFmtId="49" fontId="9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/>
    <xf numFmtId="0" fontId="63" fillId="6" borderId="0" xfId="1" applyFont="1" applyFill="1"/>
    <xf numFmtId="0" fontId="63" fillId="12" borderId="0" xfId="0" applyFont="1" applyFill="1"/>
    <xf numFmtId="0" fontId="64" fillId="12" borderId="0" xfId="1" applyFont="1" applyFill="1" applyAlignment="1">
      <alignment horizontal="left"/>
    </xf>
    <xf numFmtId="0" fontId="64" fillId="12" borderId="0" xfId="1" applyFont="1" applyFill="1"/>
    <xf numFmtId="49" fontId="64" fillId="12" borderId="0" xfId="1" applyNumberFormat="1" applyFont="1" applyFill="1" applyAlignment="1">
      <alignment horizontal="left" vertical="center"/>
    </xf>
    <xf numFmtId="0" fontId="14" fillId="2" borderId="4" xfId="1" applyFont="1" applyFill="1" applyBorder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 wrapText="1"/>
    </xf>
    <xf numFmtId="0" fontId="14" fillId="2" borderId="46" xfId="1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49" fontId="15" fillId="0" borderId="0" xfId="1" applyNumberFormat="1" applyFont="1" applyAlignment="1" applyProtection="1">
      <alignment horizontal="center" vertical="center"/>
      <protection locked="0"/>
    </xf>
    <xf numFmtId="49" fontId="9" fillId="0" borderId="0" xfId="1" quotePrefix="1" applyNumberFormat="1" applyFont="1" applyAlignment="1" applyProtection="1">
      <alignment horizontal="center" vertical="center"/>
      <protection locked="0"/>
    </xf>
    <xf numFmtId="0" fontId="9" fillId="0" borderId="3" xfId="1" applyFont="1" applyBorder="1" applyAlignment="1">
      <alignment horizontal="center" vertical="center" wrapText="1"/>
    </xf>
    <xf numFmtId="0" fontId="45" fillId="0" borderId="0" xfId="9" applyFont="1" applyAlignment="1">
      <alignment horizontal="center" vertical="center"/>
    </xf>
    <xf numFmtId="0" fontId="52" fillId="0" borderId="3" xfId="1" applyFont="1" applyBorder="1" applyAlignment="1">
      <alignment horizontal="center" vertical="center"/>
    </xf>
    <xf numFmtId="0" fontId="14" fillId="6" borderId="32" xfId="1" applyFont="1" applyFill="1" applyBorder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 wrapText="1"/>
    </xf>
    <xf numFmtId="0" fontId="14" fillId="6" borderId="48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45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48" xfId="1" applyFont="1" applyFill="1" applyBorder="1" applyAlignment="1">
      <alignment horizontal="center" vertical="center" wrapText="1"/>
    </xf>
    <xf numFmtId="0" fontId="14" fillId="6" borderId="42" xfId="1" applyFont="1" applyFill="1" applyBorder="1" applyAlignment="1">
      <alignment horizontal="center" vertical="center" wrapText="1"/>
    </xf>
    <xf numFmtId="0" fontId="14" fillId="6" borderId="0" xfId="1" applyFont="1" applyFill="1" applyAlignment="1">
      <alignment horizontal="center" vertical="center" wrapText="1"/>
    </xf>
    <xf numFmtId="0" fontId="57" fillId="0" borderId="4" xfId="1" applyFont="1" applyBorder="1" applyAlignment="1">
      <alignment horizontal="center"/>
    </xf>
    <xf numFmtId="0" fontId="9" fillId="12" borderId="3" xfId="1" applyFont="1" applyFill="1" applyBorder="1" applyAlignment="1" applyProtection="1">
      <alignment horizontal="center" vertical="center" wrapText="1"/>
      <protection locked="0"/>
    </xf>
    <xf numFmtId="0" fontId="9" fillId="12" borderId="4" xfId="1" applyFont="1" applyFill="1" applyBorder="1" applyAlignment="1" applyProtection="1">
      <alignment horizontal="center" vertical="center" wrapText="1"/>
      <protection locked="0"/>
    </xf>
    <xf numFmtId="0" fontId="15" fillId="12" borderId="17" xfId="1" applyFont="1" applyFill="1" applyBorder="1" applyAlignment="1" applyProtection="1">
      <alignment horizontal="center" vertical="center" wrapText="1"/>
      <protection locked="0"/>
    </xf>
    <xf numFmtId="0" fontId="9" fillId="12" borderId="17" xfId="1" applyFont="1" applyFill="1" applyBorder="1" applyAlignment="1" applyProtection="1">
      <alignment horizontal="center" vertical="center" wrapText="1"/>
      <protection locked="0"/>
    </xf>
    <xf numFmtId="0" fontId="9" fillId="12" borderId="46" xfId="1" applyFont="1" applyFill="1" applyBorder="1" applyAlignment="1" applyProtection="1">
      <alignment horizontal="center" vertical="center" wrapText="1"/>
      <protection locked="0"/>
    </xf>
    <xf numFmtId="0" fontId="9" fillId="12" borderId="32" xfId="1" applyFont="1" applyFill="1" applyBorder="1" applyAlignment="1" applyProtection="1">
      <alignment horizontal="center" vertical="center" wrapText="1"/>
      <protection locked="0"/>
    </xf>
    <xf numFmtId="0" fontId="9" fillId="2" borderId="0" xfId="1" applyFont="1" applyFill="1" applyAlignment="1">
      <alignment horizontal="center" vertical="center" wrapText="1"/>
    </xf>
    <xf numFmtId="0" fontId="8" fillId="0" borderId="38" xfId="1" applyFont="1" applyBorder="1" applyAlignment="1">
      <alignment horizontal="center"/>
    </xf>
    <xf numFmtId="0" fontId="10" fillId="0" borderId="12" xfId="0" applyFont="1" applyBorder="1"/>
    <xf numFmtId="0" fontId="9" fillId="6" borderId="38" xfId="1" applyFont="1" applyFill="1" applyBorder="1" applyAlignment="1" applyProtection="1">
      <alignment horizontal="center" vertical="center" wrapText="1"/>
      <protection locked="0"/>
    </xf>
    <xf numFmtId="0" fontId="9" fillId="6" borderId="39" xfId="1" applyFont="1" applyFill="1" applyBorder="1" applyAlignment="1" applyProtection="1">
      <alignment horizontal="center" vertical="center" wrapText="1"/>
      <protection locked="0"/>
    </xf>
    <xf numFmtId="0" fontId="14" fillId="2" borderId="38" xfId="1" applyFont="1" applyFill="1" applyBorder="1" applyAlignment="1">
      <alignment horizontal="center" vertical="center" wrapText="1"/>
    </xf>
    <xf numFmtId="0" fontId="14" fillId="6" borderId="12" xfId="1" applyFont="1" applyFill="1" applyBorder="1" applyAlignment="1">
      <alignment horizontal="center" vertical="center" wrapText="1"/>
    </xf>
    <xf numFmtId="0" fontId="14" fillId="6" borderId="38" xfId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9" fillId="12" borderId="42" xfId="1" applyFont="1" applyFill="1" applyBorder="1" applyAlignment="1" applyProtection="1">
      <alignment horizontal="center" vertical="center" wrapText="1"/>
      <protection locked="0"/>
    </xf>
    <xf numFmtId="0" fontId="9" fillId="12" borderId="81" xfId="1" applyFont="1" applyFill="1" applyBorder="1" applyAlignment="1" applyProtection="1">
      <alignment horizontal="center" vertical="center" wrapText="1"/>
      <protection locked="0"/>
    </xf>
    <xf numFmtId="0" fontId="9" fillId="0" borderId="84" xfId="1" applyFont="1" applyBorder="1" applyAlignment="1" applyProtection="1">
      <alignment horizontal="center" vertical="center" wrapText="1"/>
      <protection locked="0"/>
    </xf>
    <xf numFmtId="0" fontId="9" fillId="6" borderId="81" xfId="1" applyFont="1" applyFill="1" applyBorder="1" applyAlignment="1" applyProtection="1">
      <alignment horizontal="center" vertical="center" wrapText="1"/>
      <protection locked="0"/>
    </xf>
    <xf numFmtId="0" fontId="9" fillId="6" borderId="85" xfId="1" applyFont="1" applyFill="1" applyBorder="1" applyAlignment="1" applyProtection="1">
      <alignment horizontal="center" vertical="center" wrapText="1"/>
      <protection locked="0"/>
    </xf>
    <xf numFmtId="0" fontId="9" fillId="2" borderId="81" xfId="1" applyFont="1" applyFill="1" applyBorder="1" applyAlignment="1">
      <alignment horizontal="center" vertical="center" wrapText="1"/>
    </xf>
    <xf numFmtId="0" fontId="14" fillId="2" borderId="81" xfId="1" applyFont="1" applyFill="1" applyBorder="1" applyAlignment="1">
      <alignment horizontal="center" vertical="center" wrapText="1"/>
    </xf>
    <xf numFmtId="0" fontId="14" fillId="6" borderId="81" xfId="1" applyFont="1" applyFill="1" applyBorder="1" applyAlignment="1">
      <alignment horizontal="center" vertical="center" wrapText="1"/>
    </xf>
    <xf numFmtId="0" fontId="10" fillId="0" borderId="44" xfId="0" applyFont="1" applyBorder="1"/>
    <xf numFmtId="0" fontId="64" fillId="0" borderId="0" xfId="1" applyFont="1"/>
    <xf numFmtId="0" fontId="63" fillId="0" borderId="0" xfId="0" applyFont="1"/>
    <xf numFmtId="0" fontId="9" fillId="12" borderId="91" xfId="1" applyFont="1" applyFill="1" applyBorder="1" applyAlignment="1" applyProtection="1">
      <alignment horizontal="center" vertical="center" wrapText="1"/>
      <protection locked="0"/>
    </xf>
    <xf numFmtId="0" fontId="9" fillId="0" borderId="95" xfId="1" applyFont="1" applyBorder="1" applyAlignment="1" applyProtection="1">
      <alignment horizontal="center" vertical="center" wrapText="1"/>
      <protection locked="0"/>
    </xf>
    <xf numFmtId="0" fontId="9" fillId="6" borderId="93" xfId="1" applyFont="1" applyFill="1" applyBorder="1" applyAlignment="1" applyProtection="1">
      <alignment horizontal="center" vertical="center" wrapText="1"/>
      <protection locked="0"/>
    </xf>
    <xf numFmtId="0" fontId="9" fillId="6" borderId="96" xfId="1" applyFont="1" applyFill="1" applyBorder="1" applyAlignment="1" applyProtection="1">
      <alignment horizontal="center" vertical="center" wrapText="1"/>
      <protection locked="0"/>
    </xf>
    <xf numFmtId="0" fontId="9" fillId="2" borderId="93" xfId="1" applyFont="1" applyFill="1" applyBorder="1" applyAlignment="1">
      <alignment horizontal="center" vertical="center" wrapText="1"/>
    </xf>
    <xf numFmtId="0" fontId="14" fillId="2" borderId="93" xfId="1" applyFont="1" applyFill="1" applyBorder="1" applyAlignment="1">
      <alignment horizontal="center" vertical="center" wrapText="1"/>
    </xf>
    <xf numFmtId="0" fontId="14" fillId="6" borderId="93" xfId="1" applyFont="1" applyFill="1" applyBorder="1" applyAlignment="1">
      <alignment horizontal="center" vertical="center" wrapText="1"/>
    </xf>
    <xf numFmtId="0" fontId="9" fillId="12" borderId="83" xfId="1" applyFont="1" applyFill="1" applyBorder="1" applyAlignment="1" applyProtection="1">
      <alignment horizontal="center" vertical="center" wrapText="1"/>
      <protection locked="0"/>
    </xf>
    <xf numFmtId="0" fontId="63" fillId="12" borderId="0" xfId="0" applyFont="1" applyFill="1" applyAlignment="1">
      <alignment horizontal="left" vertical="center"/>
    </xf>
    <xf numFmtId="0" fontId="72" fillId="2" borderId="2" xfId="0" applyFont="1" applyFill="1" applyBorder="1" applyAlignment="1">
      <alignment horizontal="center" vertical="center"/>
    </xf>
    <xf numFmtId="0" fontId="9" fillId="0" borderId="103" xfId="1" applyFont="1" applyBorder="1" applyAlignment="1" applyProtection="1">
      <alignment horizontal="center" vertical="center" wrapText="1"/>
      <protection locked="0"/>
    </xf>
    <xf numFmtId="0" fontId="9" fillId="6" borderId="97" xfId="1" applyFont="1" applyFill="1" applyBorder="1" applyAlignment="1" applyProtection="1">
      <alignment horizontal="center" vertical="center" wrapText="1"/>
      <protection locked="0"/>
    </xf>
    <xf numFmtId="0" fontId="9" fillId="6" borderId="104" xfId="1" applyFont="1" applyFill="1" applyBorder="1" applyAlignment="1" applyProtection="1">
      <alignment horizontal="center" vertical="center" wrapText="1"/>
      <protection locked="0"/>
    </xf>
    <xf numFmtId="0" fontId="9" fillId="2" borderId="97" xfId="1" applyFont="1" applyFill="1" applyBorder="1" applyAlignment="1">
      <alignment horizontal="center" vertical="center" wrapText="1"/>
    </xf>
    <xf numFmtId="0" fontId="14" fillId="2" borderId="97" xfId="1" applyFont="1" applyFill="1" applyBorder="1" applyAlignment="1">
      <alignment horizontal="center" vertical="center" wrapText="1"/>
    </xf>
    <xf numFmtId="0" fontId="14" fillId="6" borderId="97" xfId="1" applyFont="1" applyFill="1" applyBorder="1" applyAlignment="1">
      <alignment horizontal="center" vertical="center" wrapText="1"/>
    </xf>
    <xf numFmtId="0" fontId="51" fillId="0" borderId="81" xfId="1" applyFont="1" applyBorder="1" applyAlignment="1">
      <alignment horizontal="center" vertical="center"/>
    </xf>
    <xf numFmtId="0" fontId="8" fillId="0" borderId="81" xfId="1" applyFont="1" applyBorder="1" applyAlignment="1">
      <alignment horizontal="center"/>
    </xf>
    <xf numFmtId="0" fontId="14" fillId="0" borderId="81" xfId="1" applyFont="1" applyBorder="1" applyAlignment="1">
      <alignment horizontal="center" vertical="center" wrapText="1"/>
    </xf>
    <xf numFmtId="0" fontId="8" fillId="0" borderId="97" xfId="1" applyFont="1" applyBorder="1" applyAlignment="1">
      <alignment horizontal="center"/>
    </xf>
    <xf numFmtId="0" fontId="73" fillId="0" borderId="99" xfId="1" applyFont="1" applyBorder="1" applyAlignment="1">
      <alignment horizontal="center" vertical="center"/>
    </xf>
    <xf numFmtId="0" fontId="57" fillId="0" borderId="81" xfId="1" applyFont="1" applyBorder="1" applyAlignment="1">
      <alignment horizontal="center"/>
    </xf>
    <xf numFmtId="0" fontId="14" fillId="6" borderId="80" xfId="1" applyFont="1" applyFill="1" applyBorder="1" applyAlignment="1">
      <alignment horizontal="center" vertical="center" wrapText="1"/>
    </xf>
    <xf numFmtId="0" fontId="9" fillId="2" borderId="80" xfId="1" applyFont="1" applyFill="1" applyBorder="1" applyAlignment="1">
      <alignment horizontal="center" vertical="center" wrapText="1"/>
    </xf>
    <xf numFmtId="0" fontId="52" fillId="2" borderId="4" xfId="1" applyFont="1" applyFill="1" applyBorder="1" applyAlignment="1" applyProtection="1">
      <alignment horizontal="center" vertical="center"/>
      <protection locked="0"/>
    </xf>
    <xf numFmtId="0" fontId="51" fillId="0" borderId="4" xfId="1" applyFont="1" applyBorder="1" applyAlignment="1" applyProtection="1">
      <alignment horizontal="center" vertical="center"/>
      <protection locked="0"/>
    </xf>
    <xf numFmtId="0" fontId="57" fillId="2" borderId="3" xfId="1" applyFont="1" applyFill="1" applyBorder="1" applyAlignment="1" applyProtection="1">
      <alignment horizontal="center"/>
      <protection locked="0"/>
    </xf>
    <xf numFmtId="0" fontId="51" fillId="0" borderId="3" xfId="1" applyFont="1" applyBorder="1" applyAlignment="1" applyProtection="1">
      <alignment horizontal="center" vertical="center"/>
      <protection locked="0"/>
    </xf>
    <xf numFmtId="0" fontId="8" fillId="2" borderId="17" xfId="1" applyFont="1" applyFill="1" applyBorder="1" applyAlignment="1" applyProtection="1">
      <alignment horizontal="center"/>
      <protection locked="0"/>
    </xf>
    <xf numFmtId="0" fontId="51" fillId="0" borderId="17" xfId="1" applyFont="1" applyBorder="1" applyAlignment="1" applyProtection="1">
      <alignment horizontal="center" vertical="center"/>
      <protection locked="0"/>
    </xf>
    <xf numFmtId="0" fontId="51" fillId="0" borderId="109" xfId="1" applyFont="1" applyBorder="1" applyAlignment="1">
      <alignment horizontal="center" vertical="center"/>
    </xf>
    <xf numFmtId="0" fontId="51" fillId="0" borderId="42" xfId="0" applyFont="1" applyBorder="1" applyAlignment="1">
      <alignment horizontal="center" vertical="center"/>
    </xf>
    <xf numFmtId="0" fontId="57" fillId="2" borderId="109" xfId="1" applyFont="1" applyFill="1" applyBorder="1" applyAlignment="1">
      <alignment horizontal="center"/>
    </xf>
    <xf numFmtId="0" fontId="51" fillId="0" borderId="116" xfId="1" applyFont="1" applyBorder="1" applyAlignment="1">
      <alignment horizontal="center" vertical="center"/>
    </xf>
    <xf numFmtId="0" fontId="51" fillId="0" borderId="119" xfId="1" applyFont="1" applyBorder="1" applyAlignment="1">
      <alignment horizontal="center" vertical="center"/>
    </xf>
    <xf numFmtId="49" fontId="9" fillId="19" borderId="0" xfId="1" applyNumberFormat="1" applyFont="1" applyFill="1" applyAlignment="1">
      <alignment horizontal="center" vertical="center"/>
    </xf>
    <xf numFmtId="0" fontId="61" fillId="2" borderId="0" xfId="0" applyFont="1" applyFill="1"/>
    <xf numFmtId="0" fontId="75" fillId="21" borderId="0" xfId="0" applyFont="1" applyFill="1" applyAlignment="1">
      <alignment horizontal="center"/>
    </xf>
    <xf numFmtId="0" fontId="61" fillId="16" borderId="0" xfId="0" applyFont="1" applyFill="1"/>
    <xf numFmtId="0" fontId="50" fillId="0" borderId="1" xfId="9" applyFont="1" applyBorder="1" applyAlignment="1">
      <alignment vertical="center" wrapText="1"/>
    </xf>
    <xf numFmtId="0" fontId="8" fillId="0" borderId="126" xfId="1" applyFont="1" applyBorder="1" applyAlignment="1">
      <alignment horizontal="center" vertical="center"/>
    </xf>
    <xf numFmtId="164" fontId="7" fillId="0" borderId="127" xfId="1" applyNumberFormat="1" applyFont="1" applyBorder="1" applyAlignment="1">
      <alignment horizontal="center" vertical="center"/>
    </xf>
    <xf numFmtId="0" fontId="8" fillId="2" borderId="129" xfId="1" applyFont="1" applyFill="1" applyBorder="1" applyAlignment="1">
      <alignment horizontal="center" vertical="center"/>
    </xf>
    <xf numFmtId="0" fontId="8" fillId="2" borderId="130" xfId="1" applyFont="1" applyFill="1" applyBorder="1" applyAlignment="1">
      <alignment horizontal="center" vertical="center"/>
    </xf>
    <xf numFmtId="0" fontId="8" fillId="2" borderId="131" xfId="1" applyFont="1" applyFill="1" applyBorder="1" applyAlignment="1">
      <alignment horizontal="center" vertical="center"/>
    </xf>
    <xf numFmtId="0" fontId="8" fillId="2" borderId="132" xfId="1" applyFont="1" applyFill="1" applyBorder="1" applyAlignment="1">
      <alignment horizontal="center" vertical="center"/>
    </xf>
    <xf numFmtId="0" fontId="9" fillId="2" borderId="130" xfId="1" applyFont="1" applyFill="1" applyBorder="1" applyAlignment="1">
      <alignment horizontal="center" vertical="center"/>
    </xf>
    <xf numFmtId="0" fontId="9" fillId="2" borderId="137" xfId="1" applyFont="1" applyFill="1" applyBorder="1" applyAlignment="1">
      <alignment horizontal="center" vertical="center"/>
    </xf>
    <xf numFmtId="0" fontId="9" fillId="2" borderId="132" xfId="1" applyFont="1" applyFill="1" applyBorder="1" applyAlignment="1">
      <alignment horizontal="center" vertical="center"/>
    </xf>
    <xf numFmtId="0" fontId="61" fillId="0" borderId="139" xfId="0" applyFont="1" applyBorder="1" applyAlignment="1">
      <alignment horizontal="center" vertical="center"/>
    </xf>
    <xf numFmtId="0" fontId="61" fillId="0" borderId="140" xfId="0" applyFont="1" applyBorder="1" applyAlignment="1">
      <alignment horizontal="center" vertical="center"/>
    </xf>
    <xf numFmtId="0" fontId="51" fillId="2" borderId="137" xfId="1" applyFont="1" applyFill="1" applyBorder="1" applyAlignment="1">
      <alignment horizontal="center" vertical="center"/>
    </xf>
    <xf numFmtId="0" fontId="61" fillId="0" borderId="138" xfId="0" applyFont="1" applyBorder="1" applyAlignment="1">
      <alignment horizontal="center" vertical="center"/>
    </xf>
    <xf numFmtId="0" fontId="61" fillId="0" borderId="137" xfId="0" applyFont="1" applyBorder="1" applyAlignment="1">
      <alignment horizontal="center" vertical="center"/>
    </xf>
    <xf numFmtId="0" fontId="61" fillId="0" borderId="136" xfId="0" applyFont="1" applyBorder="1" applyAlignment="1">
      <alignment horizontal="center" vertical="center" wrapText="1"/>
    </xf>
    <xf numFmtId="0" fontId="9" fillId="2" borderId="134" xfId="1" applyFont="1" applyFill="1" applyBorder="1" applyAlignment="1">
      <alignment horizontal="center" vertical="center"/>
    </xf>
    <xf numFmtId="0" fontId="9" fillId="9" borderId="141" xfId="1" applyFont="1" applyFill="1" applyBorder="1" applyAlignment="1">
      <alignment horizontal="center" vertical="center"/>
    </xf>
    <xf numFmtId="0" fontId="61" fillId="0" borderId="135" xfId="0" applyFont="1" applyBorder="1" applyAlignment="1" applyProtection="1">
      <alignment horizontal="center" vertical="center"/>
      <protection locked="0"/>
    </xf>
    <xf numFmtId="0" fontId="61" fillId="0" borderId="138" xfId="0" applyFont="1" applyBorder="1" applyAlignment="1" applyProtection="1">
      <alignment horizontal="center" vertical="center"/>
      <protection locked="0"/>
    </xf>
    <xf numFmtId="0" fontId="61" fillId="15" borderId="131" xfId="0" applyFont="1" applyFill="1" applyBorder="1" applyAlignment="1" applyProtection="1">
      <alignment horizontal="center"/>
      <protection locked="0"/>
    </xf>
    <xf numFmtId="0" fontId="65" fillId="2" borderId="141" xfId="0" applyFont="1" applyFill="1" applyBorder="1" applyAlignment="1" applyProtection="1">
      <alignment horizontal="center" vertical="center"/>
      <protection locked="0"/>
    </xf>
    <xf numFmtId="0" fontId="65" fillId="0" borderId="130" xfId="0" applyFont="1" applyBorder="1" applyAlignment="1" applyProtection="1">
      <alignment horizontal="center" vertical="center"/>
      <protection locked="0"/>
    </xf>
    <xf numFmtId="0" fontId="61" fillId="15" borderId="133" xfId="0" applyFont="1" applyFill="1" applyBorder="1" applyAlignment="1">
      <alignment horizontal="center"/>
    </xf>
    <xf numFmtId="0" fontId="65" fillId="0" borderId="130" xfId="0" applyFont="1" applyBorder="1" applyAlignment="1">
      <alignment horizontal="center" vertical="center"/>
    </xf>
    <xf numFmtId="0" fontId="65" fillId="0" borderId="132" xfId="0" applyFont="1" applyBorder="1" applyAlignment="1">
      <alignment horizontal="center" vertical="center"/>
    </xf>
    <xf numFmtId="0" fontId="65" fillId="0" borderId="141" xfId="0" applyFont="1" applyBorder="1" applyAlignment="1">
      <alignment horizontal="center" vertical="center"/>
    </xf>
    <xf numFmtId="0" fontId="61" fillId="14" borderId="131" xfId="0" applyFont="1" applyFill="1" applyBorder="1" applyAlignment="1">
      <alignment horizontal="center"/>
    </xf>
    <xf numFmtId="0" fontId="65" fillId="14" borderId="130" xfId="0" applyFont="1" applyFill="1" applyBorder="1" applyAlignment="1">
      <alignment horizontal="center" vertical="center"/>
    </xf>
    <xf numFmtId="0" fontId="65" fillId="14" borderId="131" xfId="0" applyFont="1" applyFill="1" applyBorder="1" applyAlignment="1">
      <alignment horizontal="center" vertical="center"/>
    </xf>
    <xf numFmtId="0" fontId="65" fillId="0" borderId="142" xfId="0" applyFont="1" applyBorder="1" applyAlignment="1">
      <alignment horizontal="center" vertical="center"/>
    </xf>
    <xf numFmtId="0" fontId="65" fillId="0" borderId="143" xfId="0" applyFont="1" applyBorder="1" applyAlignment="1">
      <alignment horizontal="center" vertical="center"/>
    </xf>
    <xf numFmtId="0" fontId="57" fillId="2" borderId="17" xfId="1" applyFont="1" applyFill="1" applyBorder="1" applyAlignment="1" applyProtection="1">
      <alignment horizontal="center" vertical="center"/>
      <protection locked="0"/>
    </xf>
    <xf numFmtId="0" fontId="52" fillId="2" borderId="17" xfId="1" applyFont="1" applyFill="1" applyBorder="1" applyAlignment="1" applyProtection="1">
      <alignment horizontal="center" vertical="center"/>
      <protection locked="0"/>
    </xf>
    <xf numFmtId="0" fontId="61" fillId="15" borderId="130" xfId="0" applyFont="1" applyFill="1" applyBorder="1" applyAlignment="1" applyProtection="1">
      <alignment horizontal="center"/>
      <protection locked="0"/>
    </xf>
    <xf numFmtId="0" fontId="57" fillId="0" borderId="109" xfId="1" applyFont="1" applyBorder="1" applyAlignment="1">
      <alignment horizontal="center"/>
    </xf>
    <xf numFmtId="0" fontId="62" fillId="2" borderId="142" xfId="0" applyFont="1" applyFill="1" applyBorder="1" applyAlignment="1" applyProtection="1">
      <alignment horizontal="center" vertical="center"/>
      <protection locked="0"/>
    </xf>
    <xf numFmtId="0" fontId="9" fillId="12" borderId="109" xfId="1" applyFont="1" applyFill="1" applyBorder="1" applyAlignment="1" applyProtection="1">
      <alignment horizontal="center" vertical="center" wrapText="1"/>
      <protection locked="0"/>
    </xf>
    <xf numFmtId="0" fontId="9" fillId="2" borderId="109" xfId="1" applyFont="1" applyFill="1" applyBorder="1" applyAlignment="1">
      <alignment horizontal="center" vertical="center" wrapText="1"/>
    </xf>
    <xf numFmtId="0" fontId="14" fillId="2" borderId="109" xfId="1" applyFont="1" applyFill="1" applyBorder="1" applyAlignment="1">
      <alignment horizontal="center" vertical="center" wrapText="1"/>
    </xf>
    <xf numFmtId="0" fontId="14" fillId="6" borderId="107" xfId="1" applyFont="1" applyFill="1" applyBorder="1" applyAlignment="1">
      <alignment horizontal="center" vertical="center" wrapText="1"/>
    </xf>
    <xf numFmtId="0" fontId="9" fillId="2" borderId="107" xfId="1" applyFont="1" applyFill="1" applyBorder="1" applyAlignment="1">
      <alignment horizontal="center" vertical="center" wrapText="1"/>
    </xf>
    <xf numFmtId="0" fontId="14" fillId="6" borderId="109" xfId="1" applyFont="1" applyFill="1" applyBorder="1" applyAlignment="1">
      <alignment horizontal="center" vertical="center" wrapText="1"/>
    </xf>
    <xf numFmtId="0" fontId="57" fillId="0" borderId="46" xfId="1" applyFont="1" applyBorder="1" applyAlignment="1">
      <alignment horizontal="center"/>
    </xf>
    <xf numFmtId="0" fontId="61" fillId="0" borderId="144" xfId="0" applyFont="1" applyBorder="1" applyAlignment="1" applyProtection="1">
      <alignment horizontal="center" vertical="center"/>
      <protection locked="0"/>
    </xf>
    <xf numFmtId="0" fontId="8" fillId="6" borderId="46" xfId="1" applyFont="1" applyFill="1" applyBorder="1" applyAlignment="1" applyProtection="1">
      <alignment horizontal="center" vertical="center" wrapText="1"/>
      <protection locked="0"/>
    </xf>
    <xf numFmtId="0" fontId="14" fillId="6" borderId="57" xfId="1" applyFont="1" applyFill="1" applyBorder="1" applyAlignment="1">
      <alignment horizontal="center" vertical="center" wrapText="1"/>
    </xf>
    <xf numFmtId="0" fontId="9" fillId="2" borderId="57" xfId="1" applyFont="1" applyFill="1" applyBorder="1" applyAlignment="1">
      <alignment horizontal="center" vertical="center" wrapText="1"/>
    </xf>
    <xf numFmtId="0" fontId="52" fillId="0" borderId="17" xfId="1" applyFont="1" applyBorder="1" applyAlignment="1">
      <alignment horizontal="center" vertical="center"/>
    </xf>
    <xf numFmtId="0" fontId="61" fillId="9" borderId="130" xfId="0" applyFont="1" applyFill="1" applyBorder="1" applyAlignment="1">
      <alignment horizontal="center"/>
    </xf>
    <xf numFmtId="0" fontId="57" fillId="2" borderId="46" xfId="1" applyFont="1" applyFill="1" applyBorder="1" applyAlignment="1">
      <alignment horizontal="center"/>
    </xf>
    <xf numFmtId="0" fontId="51" fillId="0" borderId="56" xfId="0" applyFont="1" applyBorder="1" applyAlignment="1">
      <alignment horizontal="center" vertical="center"/>
    </xf>
    <xf numFmtId="0" fontId="61" fillId="0" borderId="144" xfId="0" applyFont="1" applyBorder="1" applyAlignment="1">
      <alignment horizontal="center" vertical="center"/>
    </xf>
    <xf numFmtId="0" fontId="51" fillId="0" borderId="36" xfId="1" applyFont="1" applyBorder="1" applyAlignment="1">
      <alignment horizontal="center" vertical="center"/>
    </xf>
    <xf numFmtId="0" fontId="51" fillId="0" borderId="83" xfId="1" applyFont="1" applyBorder="1" applyAlignment="1">
      <alignment horizontal="center" vertical="center"/>
    </xf>
    <xf numFmtId="0" fontId="51" fillId="0" borderId="42" xfId="1" applyFont="1" applyBorder="1" applyAlignment="1">
      <alignment horizontal="center" vertical="center"/>
    </xf>
    <xf numFmtId="0" fontId="51" fillId="0" borderId="56" xfId="1" applyFont="1" applyBorder="1" applyAlignment="1">
      <alignment horizontal="center" vertical="center"/>
    </xf>
    <xf numFmtId="0" fontId="51" fillId="0" borderId="32" xfId="1" applyFont="1" applyBorder="1" applyAlignment="1">
      <alignment horizontal="center" vertical="center"/>
    </xf>
    <xf numFmtId="0" fontId="51" fillId="0" borderId="102" xfId="1" applyFont="1" applyBorder="1" applyAlignment="1">
      <alignment horizontal="center" vertical="center"/>
    </xf>
    <xf numFmtId="0" fontId="51" fillId="0" borderId="105" xfId="1" applyFont="1" applyBorder="1" applyAlignment="1">
      <alignment horizontal="center" vertical="center"/>
    </xf>
    <xf numFmtId="0" fontId="51" fillId="0" borderId="154" xfId="1" applyFont="1" applyBorder="1" applyAlignment="1">
      <alignment horizontal="center" vertical="center"/>
    </xf>
    <xf numFmtId="0" fontId="51" fillId="0" borderId="111" xfId="1" applyFont="1" applyBorder="1" applyAlignment="1">
      <alignment horizontal="center" vertical="center"/>
    </xf>
    <xf numFmtId="0" fontId="51" fillId="0" borderId="99" xfId="1" applyFont="1" applyBorder="1" applyAlignment="1">
      <alignment horizontal="center" vertical="center"/>
    </xf>
    <xf numFmtId="0" fontId="51" fillId="0" borderId="98" xfId="1" applyFont="1" applyBorder="1" applyAlignment="1">
      <alignment horizontal="center" vertical="center"/>
    </xf>
    <xf numFmtId="49" fontId="74" fillId="2" borderId="36" xfId="1" applyNumberFormat="1" applyFont="1" applyFill="1" applyBorder="1" applyAlignment="1" applyProtection="1">
      <alignment vertical="center"/>
      <protection locked="0"/>
    </xf>
    <xf numFmtId="0" fontId="51" fillId="0" borderId="79" xfId="1" applyFont="1" applyBorder="1" applyAlignment="1">
      <alignment horizontal="center" vertical="center"/>
    </xf>
    <xf numFmtId="0" fontId="52" fillId="0" borderId="42" xfId="1" applyFont="1" applyBorder="1" applyAlignment="1">
      <alignment horizontal="right" vertical="center"/>
    </xf>
    <xf numFmtId="49" fontId="9" fillId="9" borderId="135" xfId="1" applyNumberFormat="1" applyFont="1" applyFill="1" applyBorder="1" applyAlignment="1">
      <alignment horizontal="center" vertical="center"/>
    </xf>
    <xf numFmtId="49" fontId="9" fillId="2" borderId="155" xfId="1" applyNumberFormat="1" applyFont="1" applyFill="1" applyBorder="1" applyAlignment="1">
      <alignment horizontal="center" vertical="center"/>
    </xf>
    <xf numFmtId="0" fontId="9" fillId="0" borderId="155" xfId="0" applyFont="1" applyBorder="1" applyAlignment="1">
      <alignment horizontal="center"/>
    </xf>
    <xf numFmtId="0" fontId="61" fillId="9" borderId="138" xfId="0" applyFont="1" applyFill="1" applyBorder="1" applyAlignment="1" applyProtection="1">
      <alignment horizontal="center" vertical="center"/>
      <protection locked="0"/>
    </xf>
    <xf numFmtId="49" fontId="9" fillId="0" borderId="137" xfId="1" applyNumberFormat="1" applyFont="1" applyBorder="1" applyAlignment="1">
      <alignment horizontal="center" vertical="center"/>
    </xf>
    <xf numFmtId="0" fontId="8" fillId="0" borderId="156" xfId="1" applyFont="1" applyBorder="1" applyAlignment="1">
      <alignment horizontal="center"/>
    </xf>
    <xf numFmtId="0" fontId="8" fillId="0" borderId="109" xfId="1" applyFont="1" applyBorder="1" applyAlignment="1">
      <alignment horizontal="center"/>
    </xf>
    <xf numFmtId="0" fontId="57" fillId="2" borderId="17" xfId="1" applyFont="1" applyFill="1" applyBorder="1" applyAlignment="1">
      <alignment horizontal="center"/>
    </xf>
    <xf numFmtId="0" fontId="9" fillId="19" borderId="0" xfId="0" applyFont="1" applyFill="1" applyAlignment="1">
      <alignment horizontal="center"/>
    </xf>
    <xf numFmtId="0" fontId="76" fillId="22" borderId="0" xfId="0" applyFont="1" applyFill="1"/>
    <xf numFmtId="0" fontId="75" fillId="23" borderId="0" xfId="0" applyFont="1" applyFill="1" applyAlignment="1">
      <alignment horizontal="center"/>
    </xf>
    <xf numFmtId="0" fontId="76" fillId="24" borderId="0" xfId="0" applyFont="1" applyFill="1" applyAlignment="1">
      <alignment horizontal="center"/>
    </xf>
    <xf numFmtId="0" fontId="51" fillId="0" borderId="117" xfId="1" applyFont="1" applyBorder="1" applyAlignment="1">
      <alignment horizontal="center" vertical="center"/>
    </xf>
    <xf numFmtId="0" fontId="61" fillId="0" borderId="135" xfId="0" applyFont="1" applyBorder="1" applyAlignment="1">
      <alignment horizontal="center" vertical="center" wrapText="1"/>
    </xf>
    <xf numFmtId="0" fontId="52" fillId="0" borderId="98" xfId="1" applyFont="1" applyBorder="1" applyAlignment="1">
      <alignment horizontal="center" vertical="center"/>
    </xf>
    <xf numFmtId="0" fontId="11" fillId="25" borderId="2" xfId="0" applyFont="1" applyFill="1" applyBorder="1" applyAlignment="1">
      <alignment horizontal="center" vertical="center"/>
    </xf>
    <xf numFmtId="0" fontId="11" fillId="25" borderId="51" xfId="0" applyFont="1" applyFill="1" applyBorder="1" applyAlignment="1">
      <alignment horizontal="center" vertical="center"/>
    </xf>
    <xf numFmtId="49" fontId="66" fillId="25" borderId="4" xfId="1" applyNumberFormat="1" applyFont="1" applyFill="1" applyBorder="1" applyAlignment="1" applyProtection="1">
      <alignment horizontal="center" vertical="center"/>
      <protection locked="0"/>
    </xf>
    <xf numFmtId="0" fontId="50" fillId="0" borderId="0" xfId="9" applyFont="1" applyAlignment="1">
      <alignment horizontal="center" vertical="center" wrapText="1"/>
    </xf>
    <xf numFmtId="0" fontId="57" fillId="11" borderId="4" xfId="1" applyFont="1" applyFill="1" applyBorder="1" applyAlignment="1">
      <alignment horizontal="center"/>
    </xf>
    <xf numFmtId="0" fontId="51" fillId="11" borderId="4" xfId="1" applyFont="1" applyFill="1" applyBorder="1" applyAlignment="1">
      <alignment horizontal="center" vertical="center"/>
    </xf>
    <xf numFmtId="0" fontId="8" fillId="11" borderId="141" xfId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horizontal="center" vertical="center"/>
    </xf>
    <xf numFmtId="0" fontId="9" fillId="2" borderId="83" xfId="1" applyFont="1" applyFill="1" applyBorder="1" applyAlignment="1">
      <alignment horizontal="center" vertical="center" wrapText="1"/>
    </xf>
    <xf numFmtId="0" fontId="9" fillId="2" borderId="42" xfId="1" applyFont="1" applyFill="1" applyBorder="1" applyAlignment="1">
      <alignment horizontal="center" vertical="center" wrapText="1"/>
    </xf>
    <xf numFmtId="0" fontId="9" fillId="2" borderId="56" xfId="1" applyFont="1" applyFill="1" applyBorder="1" applyAlignment="1">
      <alignment horizontal="center" vertical="center" wrapText="1"/>
    </xf>
    <xf numFmtId="0" fontId="9" fillId="0" borderId="0" xfId="1" applyFont="1" applyAlignment="1" applyProtection="1">
      <alignment horizontal="center" vertical="center" wrapText="1"/>
      <protection locked="0"/>
    </xf>
    <xf numFmtId="0" fontId="9" fillId="0" borderId="9" xfId="1" applyFont="1" applyBorder="1" applyAlignment="1" applyProtection="1">
      <alignment horizontal="center" vertical="center" wrapText="1"/>
      <protection locked="0"/>
    </xf>
    <xf numFmtId="0" fontId="9" fillId="0" borderId="163" xfId="1" applyFont="1" applyBorder="1" applyAlignment="1" applyProtection="1">
      <alignment horizontal="center" vertical="center" wrapText="1"/>
      <protection locked="0"/>
    </xf>
    <xf numFmtId="0" fontId="9" fillId="0" borderId="164" xfId="1" applyFont="1" applyBorder="1" applyAlignment="1" applyProtection="1">
      <alignment horizontal="center" vertical="center" wrapText="1"/>
      <protection locked="0"/>
    </xf>
    <xf numFmtId="0" fontId="10" fillId="6" borderId="4" xfId="0" applyFont="1" applyFill="1" applyBorder="1"/>
    <xf numFmtId="0" fontId="10" fillId="6" borderId="3" xfId="0" applyFont="1" applyFill="1" applyBorder="1"/>
    <xf numFmtId="0" fontId="9" fillId="0" borderId="17" xfId="1" applyFont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 wrapText="1"/>
    </xf>
    <xf numFmtId="0" fontId="18" fillId="6" borderId="4" xfId="0" applyFont="1" applyFill="1" applyBorder="1"/>
    <xf numFmtId="0" fontId="18" fillId="6" borderId="3" xfId="0" applyFont="1" applyFill="1" applyBorder="1"/>
    <xf numFmtId="0" fontId="9" fillId="0" borderId="48" xfId="1" applyFont="1" applyBorder="1" applyAlignment="1" applyProtection="1">
      <alignment horizontal="center" vertical="center" wrapText="1"/>
      <protection locked="0"/>
    </xf>
    <xf numFmtId="0" fontId="9" fillId="0" borderId="1" xfId="1" applyFont="1" applyBorder="1" applyAlignment="1" applyProtection="1">
      <alignment horizontal="center" vertical="center" wrapText="1"/>
      <protection locked="0"/>
    </xf>
    <xf numFmtId="0" fontId="9" fillId="0" borderId="36" xfId="1" applyFont="1" applyBorder="1" applyAlignment="1" applyProtection="1">
      <alignment horizontal="center" vertical="center" wrapText="1"/>
      <protection locked="0"/>
    </xf>
    <xf numFmtId="0" fontId="10" fillId="0" borderId="36" xfId="0" applyFont="1" applyBorder="1"/>
    <xf numFmtId="0" fontId="9" fillId="2" borderId="32" xfId="1" applyFont="1" applyFill="1" applyBorder="1" applyAlignment="1" applyProtection="1">
      <alignment horizontal="center" vertical="center" wrapText="1"/>
      <protection locked="0"/>
    </xf>
    <xf numFmtId="0" fontId="9" fillId="2" borderId="36" xfId="1" applyFont="1" applyFill="1" applyBorder="1" applyAlignment="1" applyProtection="1">
      <alignment horizontal="center" vertical="center" wrapText="1"/>
      <protection locked="0"/>
    </xf>
    <xf numFmtId="0" fontId="9" fillId="0" borderId="32" xfId="1" applyFont="1" applyBorder="1" applyAlignment="1" applyProtection="1">
      <alignment horizontal="center" vertical="center" wrapText="1"/>
      <protection locked="0"/>
    </xf>
    <xf numFmtId="0" fontId="9" fillId="0" borderId="42" xfId="1" applyFont="1" applyBorder="1" applyAlignment="1" applyProtection="1">
      <alignment horizontal="center" vertical="center" wrapText="1"/>
      <protection locked="0"/>
    </xf>
    <xf numFmtId="0" fontId="18" fillId="0" borderId="32" xfId="0" applyFont="1" applyBorder="1"/>
    <xf numFmtId="0" fontId="18" fillId="0" borderId="36" xfId="0" applyFont="1" applyBorder="1"/>
    <xf numFmtId="0" fontId="9" fillId="12" borderId="31" xfId="1" applyFont="1" applyFill="1" applyBorder="1" applyAlignment="1" applyProtection="1">
      <alignment horizontal="center" vertical="center" wrapText="1"/>
      <protection locked="0"/>
    </xf>
    <xf numFmtId="0" fontId="9" fillId="12" borderId="35" xfId="1" applyFont="1" applyFill="1" applyBorder="1" applyAlignment="1" applyProtection="1">
      <alignment horizontal="center" vertical="center" wrapText="1"/>
      <protection locked="0"/>
    </xf>
    <xf numFmtId="0" fontId="9" fillId="12" borderId="35" xfId="0" applyFont="1" applyFill="1" applyBorder="1"/>
    <xf numFmtId="0" fontId="9" fillId="12" borderId="47" xfId="1" applyFont="1" applyFill="1" applyBorder="1" applyAlignment="1" applyProtection="1">
      <alignment horizontal="center" vertical="center" wrapText="1"/>
      <protection locked="0"/>
    </xf>
    <xf numFmtId="0" fontId="9" fillId="12" borderId="41" xfId="1" applyFont="1" applyFill="1" applyBorder="1" applyAlignment="1" applyProtection="1">
      <alignment horizontal="center" vertical="center" wrapText="1"/>
      <protection locked="0"/>
    </xf>
    <xf numFmtId="0" fontId="9" fillId="12" borderId="41" xfId="1" applyFont="1" applyFill="1" applyBorder="1" applyAlignment="1">
      <alignment horizontal="center" vertical="center" wrapText="1"/>
    </xf>
    <xf numFmtId="0" fontId="63" fillId="12" borderId="41" xfId="0" applyFont="1" applyFill="1" applyBorder="1"/>
    <xf numFmtId="0" fontId="63" fillId="12" borderId="41" xfId="0" applyFont="1" applyFill="1" applyBorder="1" applyAlignment="1">
      <alignment horizontal="left" vertical="center"/>
    </xf>
    <xf numFmtId="0" fontId="9" fillId="12" borderId="39" xfId="1" applyFont="1" applyFill="1" applyBorder="1" applyAlignment="1" applyProtection="1">
      <alignment horizontal="center" vertical="center" wrapText="1"/>
      <protection locked="0"/>
    </xf>
    <xf numFmtId="0" fontId="10" fillId="6" borderId="31" xfId="0" applyFont="1" applyFill="1" applyBorder="1"/>
    <xf numFmtId="0" fontId="10" fillId="6" borderId="35" xfId="0" applyFont="1" applyFill="1" applyBorder="1"/>
    <xf numFmtId="0" fontId="9" fillId="0" borderId="15" xfId="0" applyFont="1" applyBorder="1"/>
    <xf numFmtId="0" fontId="18" fillId="0" borderId="40" xfId="0" applyFont="1" applyBorder="1"/>
    <xf numFmtId="0" fontId="18" fillId="6" borderId="38" xfId="0" applyFont="1" applyFill="1" applyBorder="1"/>
    <xf numFmtId="0" fontId="10" fillId="0" borderId="43" xfId="0" applyFont="1" applyBorder="1"/>
    <xf numFmtId="0" fontId="10" fillId="2" borderId="43" xfId="0" applyFont="1" applyFill="1" applyBorder="1"/>
    <xf numFmtId="0" fontId="9" fillId="2" borderId="55" xfId="1" applyFont="1" applyFill="1" applyBorder="1" applyAlignment="1" applyProtection="1">
      <alignment horizontal="center" vertical="center" wrapText="1"/>
      <protection locked="0"/>
    </xf>
    <xf numFmtId="0" fontId="10" fillId="2" borderId="55" xfId="0" applyFont="1" applyFill="1" applyBorder="1"/>
    <xf numFmtId="0" fontId="9" fillId="12" borderId="102" xfId="1" applyFont="1" applyFill="1" applyBorder="1" applyAlignment="1" applyProtection="1">
      <alignment horizontal="center" vertical="center" wrapText="1"/>
      <protection locked="0"/>
    </xf>
    <xf numFmtId="164" fontId="10" fillId="0" borderId="55" xfId="0" applyNumberFormat="1" applyFont="1" applyBorder="1"/>
    <xf numFmtId="164" fontId="10" fillId="2" borderId="55" xfId="0" applyNumberFormat="1" applyFont="1" applyFill="1" applyBorder="1"/>
    <xf numFmtId="0" fontId="10" fillId="0" borderId="33" xfId="0" applyFont="1" applyBorder="1"/>
    <xf numFmtId="0" fontId="10" fillId="0" borderId="84" xfId="0" applyFont="1" applyBorder="1"/>
    <xf numFmtId="0" fontId="10" fillId="0" borderId="55" xfId="0" applyFont="1" applyBorder="1"/>
    <xf numFmtId="0" fontId="10" fillId="0" borderId="103" xfId="0" applyFont="1" applyBorder="1"/>
    <xf numFmtId="0" fontId="10" fillId="0" borderId="95" xfId="0" applyFont="1" applyBorder="1"/>
    <xf numFmtId="0" fontId="10" fillId="0" borderId="37" xfId="0" applyFont="1" applyBorder="1"/>
    <xf numFmtId="0" fontId="10" fillId="0" borderId="145" xfId="0" applyFont="1" applyBorder="1"/>
    <xf numFmtId="0" fontId="9" fillId="11" borderId="24" xfId="1" applyFont="1" applyFill="1" applyBorder="1" applyAlignment="1">
      <alignment horizontal="center" vertical="center" wrapText="1"/>
    </xf>
    <xf numFmtId="0" fontId="9" fillId="11" borderId="30" xfId="1" applyFont="1" applyFill="1" applyBorder="1" applyAlignment="1" applyProtection="1">
      <alignment horizontal="center" vertical="center" wrapText="1"/>
      <protection locked="0"/>
    </xf>
    <xf numFmtId="0" fontId="9" fillId="11" borderId="2" xfId="1" applyFont="1" applyFill="1" applyBorder="1" applyAlignment="1" applyProtection="1">
      <alignment horizontal="center" vertical="center" wrapText="1"/>
      <protection locked="0"/>
    </xf>
    <xf numFmtId="0" fontId="9" fillId="11" borderId="24" xfId="1" applyFont="1" applyFill="1" applyBorder="1" applyAlignment="1" applyProtection="1">
      <alignment horizontal="center" vertical="center" wrapText="1"/>
      <protection locked="0"/>
    </xf>
    <xf numFmtId="0" fontId="10" fillId="11" borderId="48" xfId="0" applyFont="1" applyFill="1" applyBorder="1"/>
    <xf numFmtId="0" fontId="9" fillId="11" borderId="3" xfId="1" applyFont="1" applyFill="1" applyBorder="1" applyAlignment="1">
      <alignment horizontal="center" vertical="center" wrapText="1"/>
    </xf>
    <xf numFmtId="0" fontId="14" fillId="11" borderId="3" xfId="1" applyFont="1" applyFill="1" applyBorder="1" applyAlignment="1">
      <alignment horizontal="center" vertical="center" wrapText="1"/>
    </xf>
    <xf numFmtId="0" fontId="9" fillId="11" borderId="17" xfId="1" applyFont="1" applyFill="1" applyBorder="1" applyAlignment="1">
      <alignment horizontal="center" vertical="center" wrapText="1"/>
    </xf>
    <xf numFmtId="49" fontId="66" fillId="25" borderId="45" xfId="1" applyNumberFormat="1" applyFont="1" applyFill="1" applyBorder="1" applyAlignment="1" applyProtection="1">
      <alignment horizontal="center" vertical="center"/>
      <protection locked="0"/>
    </xf>
    <xf numFmtId="49" fontId="66" fillId="25" borderId="17" xfId="1" applyNumberFormat="1" applyFont="1" applyFill="1" applyBorder="1" applyAlignment="1" applyProtection="1">
      <alignment horizontal="center" vertical="center"/>
      <protection locked="0"/>
    </xf>
    <xf numFmtId="49" fontId="66" fillId="25" borderId="42" xfId="1" applyNumberFormat="1" applyFont="1" applyFill="1" applyBorder="1" applyAlignment="1" applyProtection="1">
      <alignment horizontal="center" vertical="center"/>
      <protection locked="0"/>
    </xf>
    <xf numFmtId="0" fontId="13" fillId="0" borderId="51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77" fillId="0" borderId="65" xfId="0" applyFont="1" applyBorder="1" applyAlignment="1">
      <alignment horizontal="center" vertical="center" wrapText="1"/>
    </xf>
    <xf numFmtId="0" fontId="78" fillId="0" borderId="46" xfId="0" applyFont="1" applyBorder="1" applyAlignment="1">
      <alignment horizontal="center" vertical="center" wrapText="1"/>
    </xf>
    <xf numFmtId="0" fontId="77" fillId="25" borderId="66" xfId="0" applyFont="1" applyFill="1" applyBorder="1" applyAlignment="1">
      <alignment horizontal="center" vertical="center" wrapText="1"/>
    </xf>
    <xf numFmtId="49" fontId="66" fillId="25" borderId="3" xfId="1" applyNumberFormat="1" applyFont="1" applyFill="1" applyBorder="1" applyAlignment="1" applyProtection="1">
      <alignment horizontal="center" vertical="center"/>
      <protection locked="0"/>
    </xf>
    <xf numFmtId="49" fontId="66" fillId="25" borderId="81" xfId="1" applyNumberFormat="1" applyFont="1" applyFill="1" applyBorder="1" applyAlignment="1" applyProtection="1">
      <alignment horizontal="center" vertical="center"/>
      <protection locked="0"/>
    </xf>
    <xf numFmtId="49" fontId="66" fillId="25" borderId="46" xfId="1" applyNumberFormat="1" applyFont="1" applyFill="1" applyBorder="1" applyAlignment="1" applyProtection="1">
      <alignment horizontal="center" vertical="center"/>
      <protection locked="0"/>
    </xf>
    <xf numFmtId="49" fontId="66" fillId="25" borderId="36" xfId="1" applyNumberFormat="1" applyFont="1" applyFill="1" applyBorder="1" applyAlignment="1" applyProtection="1">
      <alignment horizontal="center" vertical="center"/>
      <protection locked="0"/>
    </xf>
    <xf numFmtId="49" fontId="66" fillId="25" borderId="32" xfId="1" applyNumberFormat="1" applyFont="1" applyFill="1" applyBorder="1" applyAlignment="1" applyProtection="1">
      <alignment horizontal="center" vertical="center"/>
      <protection locked="0"/>
    </xf>
    <xf numFmtId="0" fontId="66" fillId="25" borderId="3" xfId="0" applyFont="1" applyFill="1" applyBorder="1" applyAlignment="1">
      <alignment horizontal="center" vertical="center"/>
    </xf>
    <xf numFmtId="49" fontId="51" fillId="25" borderId="17" xfId="1" applyNumberFormat="1" applyFont="1" applyFill="1" applyBorder="1" applyAlignment="1" applyProtection="1">
      <alignment horizontal="center" vertical="center"/>
      <protection locked="0"/>
    </xf>
    <xf numFmtId="49" fontId="66" fillId="25" borderId="56" xfId="1" applyNumberFormat="1" applyFont="1" applyFill="1" applyBorder="1" applyAlignment="1" applyProtection="1">
      <alignment horizontal="center" vertical="center"/>
      <protection locked="0"/>
    </xf>
    <xf numFmtId="49" fontId="66" fillId="25" borderId="0" xfId="1" applyNumberFormat="1" applyFont="1" applyFill="1" applyAlignment="1" applyProtection="1">
      <alignment horizontal="center" vertical="center"/>
      <protection locked="0"/>
    </xf>
    <xf numFmtId="49" fontId="66" fillId="25" borderId="1" xfId="1" applyNumberFormat="1" applyFont="1" applyFill="1" applyBorder="1" applyAlignment="1" applyProtection="1">
      <alignment horizontal="center" vertical="center"/>
      <protection locked="0"/>
    </xf>
    <xf numFmtId="49" fontId="66" fillId="25" borderId="48" xfId="1" applyNumberFormat="1" applyFont="1" applyFill="1" applyBorder="1" applyAlignment="1" applyProtection="1">
      <alignment horizontal="center" vertical="center"/>
      <protection locked="0"/>
    </xf>
    <xf numFmtId="49" fontId="66" fillId="25" borderId="83" xfId="1" applyNumberFormat="1" applyFont="1" applyFill="1" applyBorder="1" applyAlignment="1" applyProtection="1">
      <alignment horizontal="center" vertical="center"/>
      <protection locked="0"/>
    </xf>
    <xf numFmtId="49" fontId="66" fillId="25" borderId="4" xfId="1" quotePrefix="1" applyNumberFormat="1" applyFont="1" applyFill="1" applyBorder="1" applyAlignment="1" applyProtection="1">
      <alignment horizontal="center" vertical="center"/>
      <protection locked="0"/>
    </xf>
    <xf numFmtId="49" fontId="66" fillId="25" borderId="15" xfId="1" applyNumberFormat="1" applyFont="1" applyFill="1" applyBorder="1" applyAlignment="1" applyProtection="1">
      <alignment horizontal="center" vertical="center"/>
      <protection locked="0"/>
    </xf>
    <xf numFmtId="20" fontId="66" fillId="25" borderId="42" xfId="0" applyNumberFormat="1" applyFont="1" applyFill="1" applyBorder="1" applyAlignment="1">
      <alignment horizontal="center" vertical="center"/>
    </xf>
    <xf numFmtId="0" fontId="66" fillId="25" borderId="42" xfId="0" applyFont="1" applyFill="1" applyBorder="1" applyAlignment="1">
      <alignment horizontal="center" vertical="center"/>
    </xf>
    <xf numFmtId="0" fontId="66" fillId="25" borderId="109" xfId="0" applyFont="1" applyFill="1" applyBorder="1" applyAlignment="1">
      <alignment horizontal="center" vertical="center"/>
    </xf>
    <xf numFmtId="16" fontId="66" fillId="25" borderId="56" xfId="0" quotePrefix="1" applyNumberFormat="1" applyFont="1" applyFill="1" applyBorder="1" applyAlignment="1">
      <alignment horizontal="center" vertical="center"/>
    </xf>
    <xf numFmtId="49" fontId="66" fillId="25" borderId="71" xfId="1" applyNumberFormat="1" applyFont="1" applyFill="1" applyBorder="1" applyAlignment="1" applyProtection="1">
      <alignment horizontal="center" vertical="center"/>
      <protection locked="0"/>
    </xf>
    <xf numFmtId="49" fontId="66" fillId="25" borderId="72" xfId="1" applyNumberFormat="1" applyFont="1" applyFill="1" applyBorder="1" applyAlignment="1" applyProtection="1">
      <alignment horizontal="center" vertical="center"/>
      <protection locked="0"/>
    </xf>
    <xf numFmtId="49" fontId="66" fillId="25" borderId="98" xfId="1" applyNumberFormat="1" applyFont="1" applyFill="1" applyBorder="1" applyAlignment="1" applyProtection="1">
      <alignment horizontal="center" vertical="center"/>
      <protection locked="0"/>
    </xf>
    <xf numFmtId="0" fontId="66" fillId="25" borderId="50" xfId="0" applyFont="1" applyFill="1" applyBorder="1" applyAlignment="1">
      <alignment horizontal="center" vertical="center"/>
    </xf>
    <xf numFmtId="49" fontId="66" fillId="25" borderId="122" xfId="1" applyNumberFormat="1" applyFont="1" applyFill="1" applyBorder="1" applyAlignment="1" applyProtection="1">
      <alignment horizontal="center" vertical="center"/>
      <protection locked="0"/>
    </xf>
    <xf numFmtId="0" fontId="78" fillId="25" borderId="66" xfId="0" applyFont="1" applyFill="1" applyBorder="1" applyAlignment="1">
      <alignment horizontal="center" vertical="center" wrapText="1"/>
    </xf>
    <xf numFmtId="49" fontId="66" fillId="25" borderId="86" xfId="1" applyNumberFormat="1" applyFont="1" applyFill="1" applyBorder="1" applyAlignment="1" applyProtection="1">
      <alignment horizontal="center" vertical="center"/>
      <protection locked="0"/>
    </xf>
    <xf numFmtId="49" fontId="66" fillId="25" borderId="99" xfId="1" applyNumberFormat="1" applyFont="1" applyFill="1" applyBorder="1" applyAlignment="1" applyProtection="1">
      <alignment horizontal="center" vertical="center"/>
      <protection locked="0"/>
    </xf>
    <xf numFmtId="49" fontId="66" fillId="25" borderId="57" xfId="1" applyNumberFormat="1" applyFont="1" applyFill="1" applyBorder="1" applyAlignment="1" applyProtection="1">
      <alignment horizontal="center" vertical="center"/>
      <protection locked="0"/>
    </xf>
    <xf numFmtId="0" fontId="66" fillId="25" borderId="56" xfId="0" applyFont="1" applyFill="1" applyBorder="1" applyAlignment="1">
      <alignment horizontal="center" vertical="center"/>
    </xf>
    <xf numFmtId="49" fontId="66" fillId="25" borderId="123" xfId="1" applyNumberFormat="1" applyFont="1" applyFill="1" applyBorder="1" applyAlignment="1" applyProtection="1">
      <alignment horizontal="center" vertical="center"/>
      <protection locked="0"/>
    </xf>
    <xf numFmtId="49" fontId="66" fillId="25" borderId="109" xfId="1" applyNumberFormat="1" applyFont="1" applyFill="1" applyBorder="1" applyAlignment="1" applyProtection="1">
      <alignment horizontal="center" vertical="center"/>
      <protection locked="0"/>
    </xf>
    <xf numFmtId="49" fontId="57" fillId="25" borderId="3" xfId="1" applyNumberFormat="1" applyFont="1" applyFill="1" applyBorder="1" applyAlignment="1" applyProtection="1">
      <alignment horizontal="center" vertical="center"/>
      <protection locked="0"/>
    </xf>
    <xf numFmtId="0" fontId="66" fillId="25" borderId="98" xfId="0" applyFont="1" applyFill="1" applyBorder="1" applyAlignment="1">
      <alignment horizontal="center" vertical="center"/>
    </xf>
    <xf numFmtId="0" fontId="66" fillId="25" borderId="48" xfId="0" applyFont="1" applyFill="1" applyBorder="1" applyAlignment="1">
      <alignment horizontal="center" vertical="center"/>
    </xf>
    <xf numFmtId="0" fontId="66" fillId="25" borderId="74" xfId="0" applyFont="1" applyFill="1" applyBorder="1" applyAlignment="1">
      <alignment horizontal="center" vertical="center"/>
    </xf>
    <xf numFmtId="49" fontId="66" fillId="25" borderId="120" xfId="1" applyNumberFormat="1" applyFont="1" applyFill="1" applyBorder="1" applyAlignment="1" applyProtection="1">
      <alignment horizontal="center" vertical="center"/>
      <protection locked="0"/>
    </xf>
    <xf numFmtId="49" fontId="66" fillId="25" borderId="110" xfId="1" applyNumberFormat="1" applyFont="1" applyFill="1" applyBorder="1" applyAlignment="1" applyProtection="1">
      <alignment horizontal="center" vertical="center"/>
      <protection locked="0"/>
    </xf>
    <xf numFmtId="20" fontId="82" fillId="25" borderId="3" xfId="0" applyNumberFormat="1" applyFont="1" applyFill="1" applyBorder="1" applyAlignment="1">
      <alignment horizontal="center" vertical="center"/>
    </xf>
    <xf numFmtId="49" fontId="66" fillId="25" borderId="87" xfId="1" applyNumberFormat="1" applyFont="1" applyFill="1" applyBorder="1" applyAlignment="1" applyProtection="1">
      <alignment horizontal="center" vertical="center"/>
      <protection locked="0"/>
    </xf>
    <xf numFmtId="49" fontId="66" fillId="25" borderId="17" xfId="1" quotePrefix="1" applyNumberFormat="1" applyFont="1" applyFill="1" applyBorder="1" applyAlignment="1" applyProtection="1">
      <alignment horizontal="center" vertical="center"/>
      <protection locked="0"/>
    </xf>
    <xf numFmtId="0" fontId="66" fillId="25" borderId="15" xfId="0" applyFont="1" applyFill="1" applyBorder="1" applyAlignment="1">
      <alignment horizontal="center" vertical="center"/>
    </xf>
    <xf numFmtId="0" fontId="66" fillId="25" borderId="116" xfId="0" applyFont="1" applyFill="1" applyBorder="1" applyAlignment="1">
      <alignment horizontal="center" vertical="center"/>
    </xf>
    <xf numFmtId="0" fontId="11" fillId="25" borderId="54" xfId="0" applyFont="1" applyFill="1" applyBorder="1" applyAlignment="1">
      <alignment horizontal="center" vertical="center"/>
    </xf>
    <xf numFmtId="49" fontId="66" fillId="11" borderId="32" xfId="1" applyNumberFormat="1" applyFont="1" applyFill="1" applyBorder="1" applyAlignment="1" applyProtection="1">
      <alignment horizontal="center" vertical="center"/>
      <protection locked="0"/>
    </xf>
    <xf numFmtId="49" fontId="66" fillId="11" borderId="2" xfId="1" applyNumberFormat="1" applyFont="1" applyFill="1" applyBorder="1" applyAlignment="1" applyProtection="1">
      <alignment horizontal="center" vertical="center"/>
      <protection locked="0"/>
    </xf>
    <xf numFmtId="49" fontId="82" fillId="11" borderId="2" xfId="1" applyNumberFormat="1" applyFont="1" applyFill="1" applyBorder="1" applyAlignment="1" applyProtection="1">
      <alignment horizontal="center" vertical="center"/>
      <protection locked="0"/>
    </xf>
    <xf numFmtId="0" fontId="66" fillId="11" borderId="30" xfId="0" applyFont="1" applyFill="1" applyBorder="1" applyAlignment="1">
      <alignment horizontal="center" vertical="center"/>
    </xf>
    <xf numFmtId="0" fontId="66" fillId="11" borderId="2" xfId="0" applyFont="1" applyFill="1" applyBorder="1" applyAlignment="1">
      <alignment horizontal="center" vertical="center"/>
    </xf>
    <xf numFmtId="49" fontId="66" fillId="11" borderId="30" xfId="1" applyNumberFormat="1" applyFont="1" applyFill="1" applyBorder="1" applyAlignment="1" applyProtection="1">
      <alignment horizontal="center" vertical="center"/>
      <protection locked="0"/>
    </xf>
    <xf numFmtId="49" fontId="66" fillId="11" borderId="53" xfId="1" applyNumberFormat="1" applyFont="1" applyFill="1" applyBorder="1" applyAlignment="1" applyProtection="1">
      <alignment horizontal="center" vertical="center"/>
      <protection locked="0"/>
    </xf>
    <xf numFmtId="49" fontId="66" fillId="11" borderId="49" xfId="1" applyNumberFormat="1" applyFont="1" applyFill="1" applyBorder="1" applyAlignment="1" applyProtection="1">
      <alignment horizontal="center" vertical="center"/>
      <protection locked="0"/>
    </xf>
    <xf numFmtId="49" fontId="66" fillId="11" borderId="50" xfId="1" applyNumberFormat="1" applyFont="1" applyFill="1" applyBorder="1" applyAlignment="1" applyProtection="1">
      <alignment horizontal="center" vertical="center"/>
      <protection locked="0"/>
    </xf>
    <xf numFmtId="49" fontId="66" fillId="2" borderId="42" xfId="1" applyNumberFormat="1" applyFont="1" applyFill="1" applyBorder="1" applyAlignment="1" applyProtection="1">
      <alignment horizontal="center" vertical="center"/>
      <protection locked="0"/>
    </xf>
    <xf numFmtId="49" fontId="66" fillId="2" borderId="17" xfId="1" applyNumberFormat="1" applyFont="1" applyFill="1" applyBorder="1" applyAlignment="1" applyProtection="1">
      <alignment horizontal="center" vertical="center"/>
      <protection locked="0"/>
    </xf>
    <xf numFmtId="49" fontId="66" fillId="2" borderId="50" xfId="1" applyNumberFormat="1" applyFont="1" applyFill="1" applyBorder="1" applyAlignment="1" applyProtection="1">
      <alignment horizontal="center" vertical="center"/>
      <protection locked="0"/>
    </xf>
    <xf numFmtId="49" fontId="66" fillId="2" borderId="48" xfId="1" applyNumberFormat="1" applyFont="1" applyFill="1" applyBorder="1" applyAlignment="1" applyProtection="1">
      <alignment horizontal="center" vertical="center"/>
      <protection locked="0"/>
    </xf>
    <xf numFmtId="49" fontId="66" fillId="2" borderId="15" xfId="1" applyNumberFormat="1" applyFont="1" applyFill="1" applyBorder="1" applyAlignment="1" applyProtection="1">
      <alignment horizontal="center" vertical="center"/>
      <protection locked="0"/>
    </xf>
    <xf numFmtId="49" fontId="57" fillId="2" borderId="17" xfId="1" applyNumberFormat="1" applyFont="1" applyFill="1" applyBorder="1" applyAlignment="1" applyProtection="1">
      <alignment horizontal="center" vertical="center"/>
      <protection locked="0"/>
    </xf>
    <xf numFmtId="49" fontId="66" fillId="2" borderId="32" xfId="1" applyNumberFormat="1" applyFont="1" applyFill="1" applyBorder="1" applyAlignment="1" applyProtection="1">
      <alignment horizontal="center" vertical="center"/>
      <protection locked="0"/>
    </xf>
    <xf numFmtId="49" fontId="66" fillId="2" borderId="4" xfId="1" applyNumberFormat="1" applyFont="1" applyFill="1" applyBorder="1" applyAlignment="1" applyProtection="1">
      <alignment horizontal="center" vertical="center"/>
      <protection locked="0"/>
    </xf>
    <xf numFmtId="49" fontId="66" fillId="2" borderId="3" xfId="1" applyNumberFormat="1" applyFont="1" applyFill="1" applyBorder="1" applyAlignment="1" applyProtection="1">
      <alignment horizontal="center" vertical="center"/>
      <protection locked="0"/>
    </xf>
    <xf numFmtId="49" fontId="66" fillId="2" borderId="36" xfId="1" applyNumberFormat="1" applyFont="1" applyFill="1" applyBorder="1" applyAlignment="1" applyProtection="1">
      <alignment horizontal="center" vertical="center"/>
      <protection locked="0"/>
    </xf>
    <xf numFmtId="49" fontId="66" fillId="2" borderId="81" xfId="1" applyNumberFormat="1" applyFont="1" applyFill="1" applyBorder="1" applyAlignment="1" applyProtection="1">
      <alignment horizontal="center" vertical="center"/>
      <protection locked="0"/>
    </xf>
    <xf numFmtId="49" fontId="66" fillId="2" borderId="80" xfId="1" applyNumberFormat="1" applyFont="1" applyFill="1" applyBorder="1" applyAlignment="1" applyProtection="1">
      <alignment horizontal="center" vertical="center"/>
      <protection locked="0"/>
    </xf>
    <xf numFmtId="49" fontId="66" fillId="2" borderId="83" xfId="1" applyNumberFormat="1" applyFont="1" applyFill="1" applyBorder="1" applyAlignment="1" applyProtection="1">
      <alignment horizontal="center" vertical="center"/>
      <protection locked="0"/>
    </xf>
    <xf numFmtId="0" fontId="66" fillId="2" borderId="17" xfId="0" applyFont="1" applyFill="1" applyBorder="1" applyAlignment="1">
      <alignment horizontal="center" vertical="center"/>
    </xf>
    <xf numFmtId="49" fontId="79" fillId="2" borderId="17" xfId="1" applyNumberFormat="1" applyFont="1" applyFill="1" applyBorder="1" applyAlignment="1" applyProtection="1">
      <alignment horizontal="center" vertical="center"/>
      <protection locked="0"/>
    </xf>
    <xf numFmtId="49" fontId="66" fillId="2" borderId="56" xfId="1" applyNumberFormat="1" applyFont="1" applyFill="1" applyBorder="1" applyAlignment="1" applyProtection="1">
      <alignment horizontal="center" vertical="center"/>
      <protection locked="0"/>
    </xf>
    <xf numFmtId="49" fontId="66" fillId="2" borderId="46" xfId="1" applyNumberFormat="1" applyFont="1" applyFill="1" applyBorder="1" applyAlignment="1" applyProtection="1">
      <alignment horizontal="center" vertical="center"/>
      <protection locked="0"/>
    </xf>
    <xf numFmtId="0" fontId="66" fillId="2" borderId="3" xfId="0" applyFont="1" applyFill="1" applyBorder="1" applyAlignment="1">
      <alignment horizontal="center" vertical="center"/>
    </xf>
    <xf numFmtId="49" fontId="66" fillId="2" borderId="0" xfId="1" applyNumberFormat="1" applyFont="1" applyFill="1" applyAlignment="1" applyProtection="1">
      <alignment horizontal="center" vertical="center"/>
      <protection locked="0"/>
    </xf>
    <xf numFmtId="0" fontId="66" fillId="2" borderId="4" xfId="0" applyFont="1" applyFill="1" applyBorder="1" applyAlignment="1">
      <alignment horizontal="center" vertical="center"/>
    </xf>
    <xf numFmtId="49" fontId="66" fillId="2" borderId="45" xfId="1" applyNumberFormat="1" applyFont="1" applyFill="1" applyBorder="1" applyAlignment="1" applyProtection="1">
      <alignment horizontal="center" vertical="center"/>
      <protection locked="0"/>
    </xf>
    <xf numFmtId="49" fontId="66" fillId="2" borderId="99" xfId="1" applyNumberFormat="1" applyFont="1" applyFill="1" applyBorder="1" applyAlignment="1" applyProtection="1">
      <alignment horizontal="center" vertical="center"/>
      <protection locked="0"/>
    </xf>
    <xf numFmtId="49" fontId="66" fillId="2" borderId="109" xfId="1" applyNumberFormat="1" applyFont="1" applyFill="1" applyBorder="1" applyAlignment="1" applyProtection="1">
      <alignment vertical="center"/>
      <protection locked="0"/>
    </xf>
    <xf numFmtId="49" fontId="66" fillId="2" borderId="97" xfId="1" applyNumberFormat="1" applyFont="1" applyFill="1" applyBorder="1" applyAlignment="1" applyProtection="1">
      <alignment horizontal="center" vertical="center"/>
      <protection locked="0"/>
    </xf>
    <xf numFmtId="49" fontId="66" fillId="2" borderId="86" xfId="1" applyNumberFormat="1" applyFont="1" applyFill="1" applyBorder="1" applyAlignment="1" applyProtection="1">
      <alignment horizontal="center" vertical="center"/>
      <protection locked="0"/>
    </xf>
    <xf numFmtId="49" fontId="66" fillId="2" borderId="98" xfId="1" applyNumberFormat="1" applyFont="1" applyFill="1" applyBorder="1" applyAlignment="1" applyProtection="1">
      <alignment horizontal="center" vertical="center"/>
      <protection locked="0"/>
    </xf>
    <xf numFmtId="0" fontId="66" fillId="2" borderId="36" xfId="0" applyFont="1" applyFill="1" applyBorder="1" applyAlignment="1">
      <alignment horizontal="center" vertical="center"/>
    </xf>
    <xf numFmtId="0" fontId="66" fillId="2" borderId="48" xfId="0" applyFont="1" applyFill="1" applyBorder="1" applyAlignment="1">
      <alignment horizontal="center" vertical="center"/>
    </xf>
    <xf numFmtId="49" fontId="66" fillId="2" borderId="76" xfId="1" applyNumberFormat="1" applyFont="1" applyFill="1" applyBorder="1" applyAlignment="1" applyProtection="1">
      <alignment horizontal="center" vertical="center"/>
      <protection locked="0"/>
    </xf>
    <xf numFmtId="49" fontId="51" fillId="2" borderId="17" xfId="1" applyNumberFormat="1" applyFont="1" applyFill="1" applyBorder="1" applyAlignment="1" applyProtection="1">
      <alignment horizontal="center" vertical="center"/>
      <protection locked="0"/>
    </xf>
    <xf numFmtId="49" fontId="66" fillId="2" borderId="78" xfId="1" applyNumberFormat="1" applyFont="1" applyFill="1" applyBorder="1" applyAlignment="1" applyProtection="1">
      <alignment horizontal="center" vertical="center"/>
      <protection locked="0"/>
    </xf>
    <xf numFmtId="0" fontId="8" fillId="2" borderId="17" xfId="1" applyFont="1" applyFill="1" applyBorder="1" applyAlignment="1">
      <alignment horizontal="center" vertical="center"/>
    </xf>
    <xf numFmtId="49" fontId="66" fillId="2" borderId="72" xfId="1" applyNumberFormat="1" applyFont="1" applyFill="1" applyBorder="1" applyAlignment="1" applyProtection="1">
      <alignment horizontal="center" vertical="center"/>
      <protection locked="0"/>
    </xf>
    <xf numFmtId="49" fontId="79" fillId="2" borderId="78" xfId="1" applyNumberFormat="1" applyFont="1" applyFill="1" applyBorder="1" applyAlignment="1" applyProtection="1">
      <alignment horizontal="center" vertical="center"/>
      <protection locked="0"/>
    </xf>
    <xf numFmtId="49" fontId="66" fillId="2" borderId="114" xfId="1" applyNumberFormat="1" applyFont="1" applyFill="1" applyBorder="1" applyAlignment="1" applyProtection="1">
      <alignment horizontal="center" vertical="center"/>
      <protection locked="0"/>
    </xf>
    <xf numFmtId="49" fontId="66" fillId="2" borderId="79" xfId="1" applyNumberFormat="1" applyFont="1" applyFill="1" applyBorder="1" applyAlignment="1" applyProtection="1">
      <alignment horizontal="center" vertical="center"/>
      <protection locked="0"/>
    </xf>
    <xf numFmtId="49" fontId="66" fillId="2" borderId="60" xfId="1" applyNumberFormat="1" applyFont="1" applyFill="1" applyBorder="1" applyAlignment="1" applyProtection="1">
      <alignment horizontal="center" vertical="center"/>
      <protection locked="0"/>
    </xf>
    <xf numFmtId="49" fontId="66" fillId="2" borderId="125" xfId="1" applyNumberFormat="1" applyFont="1" applyFill="1" applyBorder="1" applyAlignment="1" applyProtection="1">
      <alignment horizontal="center" vertical="center"/>
      <protection locked="0"/>
    </xf>
    <xf numFmtId="49" fontId="66" fillId="2" borderId="57" xfId="1" applyNumberFormat="1" applyFont="1" applyFill="1" applyBorder="1" applyAlignment="1" applyProtection="1">
      <alignment horizontal="center" vertical="center"/>
      <protection locked="0"/>
    </xf>
    <xf numFmtId="49" fontId="66" fillId="2" borderId="153" xfId="1" applyNumberFormat="1" applyFont="1" applyFill="1" applyBorder="1" applyAlignment="1" applyProtection="1">
      <alignment horizontal="center" vertical="center"/>
      <protection locked="0"/>
    </xf>
    <xf numFmtId="49" fontId="66" fillId="2" borderId="64" xfId="1" applyNumberFormat="1" applyFont="1" applyFill="1" applyBorder="1" applyAlignment="1" applyProtection="1">
      <alignment horizontal="center" vertical="center"/>
      <protection locked="0"/>
    </xf>
    <xf numFmtId="0" fontId="66" fillId="2" borderId="42" xfId="0" applyFont="1" applyFill="1" applyBorder="1" applyAlignment="1">
      <alignment horizontal="center" vertical="center"/>
    </xf>
    <xf numFmtId="49" fontId="66" fillId="2" borderId="62" xfId="1" applyNumberFormat="1" applyFont="1" applyFill="1" applyBorder="1" applyAlignment="1" applyProtection="1">
      <alignment horizontal="center" vertical="center"/>
      <protection locked="0"/>
    </xf>
    <xf numFmtId="16" fontId="66" fillId="2" borderId="17" xfId="0" quotePrefix="1" applyNumberFormat="1" applyFont="1" applyFill="1" applyBorder="1" applyAlignment="1">
      <alignment horizontal="center" vertical="center"/>
    </xf>
    <xf numFmtId="49" fontId="66" fillId="2" borderId="1" xfId="1" applyNumberFormat="1" applyFont="1" applyFill="1" applyBorder="1" applyAlignment="1" applyProtection="1">
      <alignment horizontal="center" vertical="center"/>
      <protection locked="0"/>
    </xf>
    <xf numFmtId="49" fontId="66" fillId="2" borderId="70" xfId="1" applyNumberFormat="1" applyFont="1" applyFill="1" applyBorder="1" applyAlignment="1" applyProtection="1">
      <alignment horizontal="center" vertical="center"/>
      <protection locked="0"/>
    </xf>
    <xf numFmtId="0" fontId="66" fillId="2" borderId="50" xfId="0" applyFont="1" applyFill="1" applyBorder="1" applyAlignment="1">
      <alignment horizontal="center" vertical="center"/>
    </xf>
    <xf numFmtId="49" fontId="66" fillId="2" borderId="150" xfId="1" applyNumberFormat="1" applyFont="1" applyFill="1" applyBorder="1" applyAlignment="1" applyProtection="1">
      <alignment horizontal="center" vertical="center"/>
      <protection locked="0"/>
    </xf>
    <xf numFmtId="49" fontId="66" fillId="2" borderId="77" xfId="1" applyNumberFormat="1" applyFont="1" applyFill="1" applyBorder="1" applyAlignment="1" applyProtection="1">
      <alignment horizontal="center" vertical="center"/>
      <protection locked="0"/>
    </xf>
    <xf numFmtId="49" fontId="66" fillId="2" borderId="151" xfId="1" applyNumberFormat="1" applyFont="1" applyFill="1" applyBorder="1" applyAlignment="1" applyProtection="1">
      <alignment horizontal="center" vertical="center"/>
      <protection locked="0"/>
    </xf>
    <xf numFmtId="49" fontId="66" fillId="2" borderId="106" xfId="1" applyNumberFormat="1" applyFont="1" applyFill="1" applyBorder="1" applyAlignment="1" applyProtection="1">
      <alignment horizontal="center" vertical="center"/>
      <protection locked="0"/>
    </xf>
    <xf numFmtId="49" fontId="66" fillId="2" borderId="109" xfId="1" applyNumberFormat="1" applyFont="1" applyFill="1" applyBorder="1" applyAlignment="1" applyProtection="1">
      <alignment horizontal="center" vertical="center"/>
      <protection locked="0"/>
    </xf>
    <xf numFmtId="49" fontId="66" fillId="2" borderId="110" xfId="1" applyNumberFormat="1" applyFont="1" applyFill="1" applyBorder="1" applyAlignment="1" applyProtection="1">
      <alignment horizontal="center" vertical="center"/>
      <protection locked="0"/>
    </xf>
    <xf numFmtId="49" fontId="66" fillId="2" borderId="107" xfId="1" applyNumberFormat="1" applyFont="1" applyFill="1" applyBorder="1" applyAlignment="1" applyProtection="1">
      <alignment horizontal="center" vertical="center"/>
      <protection locked="0"/>
    </xf>
    <xf numFmtId="49" fontId="66" fillId="2" borderId="152" xfId="1" applyNumberFormat="1" applyFont="1" applyFill="1" applyBorder="1" applyAlignment="1" applyProtection="1">
      <alignment horizontal="center" vertical="center"/>
      <protection locked="0"/>
    </xf>
    <xf numFmtId="0" fontId="66" fillId="2" borderId="42" xfId="0" applyFont="1" applyFill="1" applyBorder="1" applyAlignment="1" applyProtection="1">
      <alignment horizontal="center" vertical="center"/>
      <protection locked="0"/>
    </xf>
    <xf numFmtId="49" fontId="66" fillId="2" borderId="106" xfId="1" applyNumberFormat="1" applyFont="1" applyFill="1" applyBorder="1" applyAlignment="1" applyProtection="1">
      <alignment vertical="center"/>
      <protection locked="0"/>
    </xf>
    <xf numFmtId="49" fontId="80" fillId="2" borderId="17" xfId="1" applyNumberFormat="1" applyFont="1" applyFill="1" applyBorder="1" applyAlignment="1" applyProtection="1">
      <alignment horizontal="center" vertical="center"/>
      <protection locked="0"/>
    </xf>
    <xf numFmtId="49" fontId="81" fillId="2" borderId="17" xfId="1" applyNumberFormat="1" applyFont="1" applyFill="1" applyBorder="1" applyAlignment="1" applyProtection="1">
      <alignment horizontal="center" vertical="center"/>
      <protection locked="0"/>
    </xf>
    <xf numFmtId="49" fontId="66" fillId="2" borderId="4" xfId="1" quotePrefix="1" applyNumberFormat="1" applyFont="1" applyFill="1" applyBorder="1" applyAlignment="1" applyProtection="1">
      <alignment horizontal="center" vertical="center"/>
      <protection locked="0"/>
    </xf>
    <xf numFmtId="49" fontId="66" fillId="2" borderId="45" xfId="1" quotePrefix="1" applyNumberFormat="1" applyFont="1" applyFill="1" applyBorder="1" applyAlignment="1" applyProtection="1">
      <alignment horizontal="center" vertical="center"/>
      <protection locked="0"/>
    </xf>
    <xf numFmtId="49" fontId="66" fillId="2" borderId="17" xfId="1" quotePrefix="1" applyNumberFormat="1" applyFont="1" applyFill="1" applyBorder="1" applyAlignment="1" applyProtection="1">
      <alignment horizontal="center" vertical="center"/>
      <protection locked="0"/>
    </xf>
    <xf numFmtId="49" fontId="66" fillId="2" borderId="32" xfId="1" quotePrefix="1" applyNumberFormat="1" applyFont="1" applyFill="1" applyBorder="1" applyAlignment="1" applyProtection="1">
      <alignment horizontal="center" vertical="center"/>
      <protection locked="0"/>
    </xf>
    <xf numFmtId="49" fontId="66" fillId="2" borderId="1" xfId="1" quotePrefix="1" applyNumberFormat="1" applyFont="1" applyFill="1" applyBorder="1" applyAlignment="1" applyProtection="1">
      <alignment horizontal="center" vertical="center"/>
      <protection locked="0"/>
    </xf>
    <xf numFmtId="49" fontId="79" fillId="2" borderId="106" xfId="1" applyNumberFormat="1" applyFont="1" applyFill="1" applyBorder="1" applyAlignment="1" applyProtection="1">
      <alignment horizontal="center" vertical="center"/>
      <protection locked="0"/>
    </xf>
    <xf numFmtId="49" fontId="79" fillId="2" borderId="107" xfId="1" applyNumberFormat="1" applyFont="1" applyFill="1" applyBorder="1" applyAlignment="1" applyProtection="1">
      <alignment horizontal="center" vertical="center"/>
      <protection locked="0"/>
    </xf>
    <xf numFmtId="49" fontId="79" fillId="2" borderId="42" xfId="1" applyNumberFormat="1" applyFont="1" applyFill="1" applyBorder="1" applyAlignment="1" applyProtection="1">
      <alignment horizontal="center" vertical="center"/>
      <protection locked="0"/>
    </xf>
    <xf numFmtId="20" fontId="66" fillId="2" borderId="111" xfId="0" applyNumberFormat="1" applyFont="1" applyFill="1" applyBorder="1" applyAlignment="1">
      <alignment horizontal="center" vertical="center"/>
    </xf>
    <xf numFmtId="20" fontId="66" fillId="2" borderId="108" xfId="0" applyNumberFormat="1" applyFont="1" applyFill="1" applyBorder="1" applyAlignment="1">
      <alignment horizontal="center" vertical="center"/>
    </xf>
    <xf numFmtId="49" fontId="66" fillId="2" borderId="111" xfId="1" applyNumberFormat="1" applyFont="1" applyFill="1" applyBorder="1" applyAlignment="1" applyProtection="1">
      <alignment horizontal="center" vertical="center"/>
      <protection locked="0"/>
    </xf>
    <xf numFmtId="49" fontId="66" fillId="2" borderId="147" xfId="1" applyNumberFormat="1" applyFont="1" applyFill="1" applyBorder="1" applyAlignment="1" applyProtection="1">
      <alignment horizontal="center" vertical="center"/>
      <protection locked="0"/>
    </xf>
    <xf numFmtId="49" fontId="66" fillId="2" borderId="118" xfId="1" applyNumberFormat="1" applyFont="1" applyFill="1" applyBorder="1" applyAlignment="1" applyProtection="1">
      <alignment horizontal="center" vertical="center"/>
      <protection locked="0"/>
    </xf>
    <xf numFmtId="49" fontId="66" fillId="2" borderId="149" xfId="1" applyNumberFormat="1" applyFont="1" applyFill="1" applyBorder="1" applyAlignment="1" applyProtection="1">
      <alignment horizontal="center" vertical="center"/>
      <protection locked="0"/>
    </xf>
    <xf numFmtId="20" fontId="66" fillId="2" borderId="42" xfId="0" applyNumberFormat="1" applyFont="1" applyFill="1" applyBorder="1" applyAlignment="1">
      <alignment horizontal="center" vertical="center"/>
    </xf>
    <xf numFmtId="49" fontId="66" fillId="2" borderId="117" xfId="1" applyNumberFormat="1" applyFont="1" applyFill="1" applyBorder="1" applyAlignment="1" applyProtection="1">
      <alignment horizontal="center" vertical="center"/>
      <protection locked="0"/>
    </xf>
    <xf numFmtId="49" fontId="66" fillId="2" borderId="148" xfId="1" applyNumberFormat="1" applyFont="1" applyFill="1" applyBorder="1" applyAlignment="1" applyProtection="1">
      <alignment horizontal="center" vertical="center"/>
      <protection locked="0"/>
    </xf>
    <xf numFmtId="16" fontId="66" fillId="2" borderId="98" xfId="0" quotePrefix="1" applyNumberFormat="1" applyFont="1" applyFill="1" applyBorder="1" applyAlignment="1">
      <alignment horizontal="center" vertical="center"/>
    </xf>
    <xf numFmtId="16" fontId="66" fillId="2" borderId="42" xfId="0" quotePrefix="1" applyNumberFormat="1" applyFont="1" applyFill="1" applyBorder="1" applyAlignment="1">
      <alignment horizontal="center" vertical="center"/>
    </xf>
    <xf numFmtId="0" fontId="66" fillId="2" borderId="98" xfId="0" applyFont="1" applyFill="1" applyBorder="1" applyAlignment="1">
      <alignment horizontal="center" vertical="center"/>
    </xf>
    <xf numFmtId="0" fontId="66" fillId="2" borderId="109" xfId="0" applyFont="1" applyFill="1" applyBorder="1" applyAlignment="1">
      <alignment horizontal="center" vertical="center"/>
    </xf>
    <xf numFmtId="49" fontId="66" fillId="2" borderId="113" xfId="1" applyNumberFormat="1" applyFont="1" applyFill="1" applyBorder="1" applyAlignment="1" applyProtection="1">
      <alignment horizontal="center" vertical="center"/>
      <protection locked="0"/>
    </xf>
    <xf numFmtId="0" fontId="66" fillId="2" borderId="113" xfId="0" applyFont="1" applyFill="1" applyBorder="1" applyAlignment="1">
      <alignment horizontal="center" vertical="center"/>
    </xf>
    <xf numFmtId="0" fontId="66" fillId="2" borderId="115" xfId="0" applyFont="1" applyFill="1" applyBorder="1" applyAlignment="1">
      <alignment horizontal="center" vertical="center"/>
    </xf>
    <xf numFmtId="20" fontId="82" fillId="2" borderId="42" xfId="0" applyNumberFormat="1" applyFont="1" applyFill="1" applyBorder="1" applyAlignment="1">
      <alignment horizontal="center" vertical="center"/>
    </xf>
    <xf numFmtId="20" fontId="82" fillId="2" borderId="3" xfId="0" applyNumberFormat="1" applyFont="1" applyFill="1" applyBorder="1" applyAlignment="1">
      <alignment horizontal="center" vertical="center"/>
    </xf>
    <xf numFmtId="20" fontId="82" fillId="2" borderId="50" xfId="0" applyNumberFormat="1" applyFont="1" applyFill="1" applyBorder="1" applyAlignment="1">
      <alignment horizontal="center" vertical="center"/>
    </xf>
    <xf numFmtId="0" fontId="66" fillId="2" borderId="79" xfId="0" applyFont="1" applyFill="1" applyBorder="1" applyAlignment="1">
      <alignment horizontal="center" vertical="center"/>
    </xf>
    <xf numFmtId="49" fontId="66" fillId="2" borderId="87" xfId="1" applyNumberFormat="1" applyFont="1" applyFill="1" applyBorder="1" applyAlignment="1" applyProtection="1">
      <alignment horizontal="center" vertical="center"/>
      <protection locked="0"/>
    </xf>
    <xf numFmtId="0" fontId="66" fillId="2" borderId="56" xfId="0" applyFont="1" applyFill="1" applyBorder="1" applyAlignment="1">
      <alignment horizontal="center" vertical="center"/>
    </xf>
    <xf numFmtId="0" fontId="66" fillId="2" borderId="87" xfId="0" applyFont="1" applyFill="1" applyBorder="1" applyAlignment="1">
      <alignment horizontal="center" vertical="center"/>
    </xf>
    <xf numFmtId="49" fontId="66" fillId="2" borderId="71" xfId="1" applyNumberFormat="1" applyFont="1" applyFill="1" applyBorder="1" applyAlignment="1" applyProtection="1">
      <alignment horizontal="center" vertical="center"/>
      <protection locked="0"/>
    </xf>
    <xf numFmtId="49" fontId="66" fillId="2" borderId="74" xfId="1" applyNumberFormat="1" applyFont="1" applyFill="1" applyBorder="1" applyAlignment="1" applyProtection="1">
      <alignment horizontal="center" vertical="center"/>
      <protection locked="0"/>
    </xf>
    <xf numFmtId="0" fontId="66" fillId="2" borderId="86" xfId="0" applyFont="1" applyFill="1" applyBorder="1" applyAlignment="1">
      <alignment horizontal="center" vertical="center"/>
    </xf>
    <xf numFmtId="0" fontId="51" fillId="2" borderId="0" xfId="0" applyFont="1" applyFill="1"/>
    <xf numFmtId="0" fontId="66" fillId="2" borderId="15" xfId="0" applyFont="1" applyFill="1" applyBorder="1" applyAlignment="1">
      <alignment horizontal="center" vertical="center"/>
    </xf>
    <xf numFmtId="16" fontId="66" fillId="2" borderId="86" xfId="0" applyNumberFormat="1" applyFont="1" applyFill="1" applyBorder="1" applyAlignment="1">
      <alignment horizontal="center" vertical="center"/>
    </xf>
    <xf numFmtId="49" fontId="82" fillId="2" borderId="17" xfId="1" applyNumberFormat="1" applyFont="1" applyFill="1" applyBorder="1" applyAlignment="1" applyProtection="1">
      <alignment horizontal="center" vertical="center"/>
      <protection locked="0"/>
    </xf>
    <xf numFmtId="49" fontId="82" fillId="2" borderId="17" xfId="1" quotePrefix="1" applyNumberFormat="1" applyFont="1" applyFill="1" applyBorder="1" applyAlignment="1" applyProtection="1">
      <alignment horizontal="center" vertical="center"/>
      <protection locked="0"/>
    </xf>
    <xf numFmtId="49" fontId="66" fillId="2" borderId="50" xfId="1" quotePrefix="1" applyNumberFormat="1" applyFont="1" applyFill="1" applyBorder="1" applyAlignment="1" applyProtection="1">
      <alignment horizontal="center" vertical="center"/>
      <protection locked="0"/>
    </xf>
    <xf numFmtId="49" fontId="66" fillId="2" borderId="3" xfId="1" quotePrefix="1" applyNumberFormat="1" applyFont="1" applyFill="1" applyBorder="1" applyAlignment="1" applyProtection="1">
      <alignment horizontal="center" vertical="center"/>
      <protection locked="0"/>
    </xf>
    <xf numFmtId="0" fontId="66" fillId="2" borderId="74" xfId="0" applyFont="1" applyFill="1" applyBorder="1" applyAlignment="1">
      <alignment horizontal="center" vertical="center"/>
    </xf>
    <xf numFmtId="0" fontId="66" fillId="2" borderId="116" xfId="0" applyFont="1" applyFill="1" applyBorder="1" applyAlignment="1">
      <alignment horizontal="center" vertical="center"/>
    </xf>
    <xf numFmtId="0" fontId="80" fillId="2" borderId="71" xfId="0" applyFont="1" applyFill="1" applyBorder="1"/>
    <xf numFmtId="0" fontId="82" fillId="2" borderId="116" xfId="0" applyFont="1" applyFill="1" applyBorder="1" applyAlignment="1">
      <alignment horizontal="center" vertical="center"/>
    </xf>
    <xf numFmtId="49" fontId="82" fillId="2" borderId="0" xfId="1" applyNumberFormat="1" applyFont="1" applyFill="1" applyAlignment="1" applyProtection="1">
      <alignment horizontal="center" vertical="center"/>
      <protection locked="0"/>
    </xf>
    <xf numFmtId="0" fontId="66" fillId="2" borderId="161" xfId="0" applyFont="1" applyFill="1" applyBorder="1" applyAlignment="1">
      <alignment horizontal="center" vertical="center"/>
    </xf>
    <xf numFmtId="49" fontId="66" fillId="2" borderId="120" xfId="1" applyNumberFormat="1" applyFont="1" applyFill="1" applyBorder="1" applyAlignment="1" applyProtection="1">
      <alignment horizontal="center" vertical="center"/>
      <protection locked="0"/>
    </xf>
    <xf numFmtId="49" fontId="66" fillId="2" borderId="121" xfId="1" applyNumberFormat="1" applyFont="1" applyFill="1" applyBorder="1" applyAlignment="1" applyProtection="1">
      <alignment horizontal="center" vertical="center"/>
      <protection locked="0"/>
    </xf>
    <xf numFmtId="49" fontId="66" fillId="2" borderId="73" xfId="1" applyNumberFormat="1" applyFont="1" applyFill="1" applyBorder="1" applyAlignment="1" applyProtection="1">
      <alignment horizontal="center" vertical="center"/>
      <protection locked="0"/>
    </xf>
    <xf numFmtId="49" fontId="66" fillId="2" borderId="122" xfId="1" applyNumberFormat="1" applyFont="1" applyFill="1" applyBorder="1" applyAlignment="1" applyProtection="1">
      <alignment horizontal="center" vertical="center"/>
      <protection locked="0"/>
    </xf>
    <xf numFmtId="49" fontId="66" fillId="2" borderId="12" xfId="1" applyNumberFormat="1" applyFont="1" applyFill="1" applyBorder="1" applyAlignment="1" applyProtection="1">
      <alignment horizontal="center" vertical="center"/>
      <protection locked="0"/>
    </xf>
    <xf numFmtId="49" fontId="66" fillId="2" borderId="123" xfId="1" applyNumberFormat="1" applyFont="1" applyFill="1" applyBorder="1" applyAlignment="1" applyProtection="1">
      <alignment horizontal="center" vertical="center"/>
      <protection locked="0"/>
    </xf>
    <xf numFmtId="49" fontId="66" fillId="2" borderId="38" xfId="1" applyNumberFormat="1" applyFont="1" applyFill="1" applyBorder="1" applyAlignment="1" applyProtection="1">
      <alignment horizontal="center" vertical="center"/>
      <protection locked="0"/>
    </xf>
    <xf numFmtId="49" fontId="66" fillId="2" borderId="75" xfId="1" applyNumberFormat="1" applyFont="1" applyFill="1" applyBorder="1" applyAlignment="1" applyProtection="1">
      <alignment horizontal="center" vertical="center"/>
      <protection locked="0"/>
    </xf>
    <xf numFmtId="49" fontId="66" fillId="2" borderId="119" xfId="1" applyNumberFormat="1" applyFont="1" applyFill="1" applyBorder="1" applyAlignment="1" applyProtection="1">
      <alignment horizontal="center" vertical="center"/>
      <protection locked="0"/>
    </xf>
    <xf numFmtId="49" fontId="8" fillId="2" borderId="119" xfId="1" applyNumberFormat="1" applyFont="1" applyFill="1" applyBorder="1" applyAlignment="1" applyProtection="1">
      <alignment horizontal="center" vertical="center"/>
      <protection locked="0"/>
    </xf>
    <xf numFmtId="49" fontId="66" fillId="2" borderId="162" xfId="1" applyNumberFormat="1" applyFont="1" applyFill="1" applyBorder="1" applyAlignment="1" applyProtection="1">
      <alignment horizontal="center" vertical="center"/>
      <protection locked="0"/>
    </xf>
    <xf numFmtId="0" fontId="13" fillId="2" borderId="61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77" fillId="2" borderId="65" xfId="0" applyFont="1" applyFill="1" applyBorder="1" applyAlignment="1">
      <alignment horizontal="center" vertical="center" wrapText="1"/>
    </xf>
    <xf numFmtId="49" fontId="85" fillId="2" borderId="17" xfId="1" applyNumberFormat="1" applyFont="1" applyFill="1" applyBorder="1" applyAlignment="1" applyProtection="1">
      <alignment horizontal="center" vertical="center"/>
      <protection locked="0"/>
    </xf>
    <xf numFmtId="49" fontId="66" fillId="0" borderId="4" xfId="1" applyNumberFormat="1" applyFont="1" applyBorder="1" applyAlignment="1" applyProtection="1">
      <alignment horizontal="center" vertical="center"/>
      <protection locked="0"/>
    </xf>
    <xf numFmtId="49" fontId="86" fillId="25" borderId="99" xfId="1" applyNumberFormat="1" applyFont="1" applyFill="1" applyBorder="1" applyAlignment="1" applyProtection="1">
      <alignment horizontal="center" vertical="center"/>
      <protection locked="0"/>
    </xf>
    <xf numFmtId="49" fontId="66" fillId="0" borderId="99" xfId="1" applyNumberFormat="1" applyFont="1" applyBorder="1" applyAlignment="1" applyProtection="1">
      <alignment horizontal="center" vertical="center"/>
      <protection locked="0"/>
    </xf>
    <xf numFmtId="49" fontId="86" fillId="0" borderId="99" xfId="1" applyNumberFormat="1" applyFont="1" applyBorder="1" applyAlignment="1" applyProtection="1">
      <alignment horizontal="center" vertical="center"/>
      <protection locked="0"/>
    </xf>
    <xf numFmtId="49" fontId="66" fillId="26" borderId="0" xfId="1" applyNumberFormat="1" applyFont="1" applyFill="1" applyAlignment="1" applyProtection="1">
      <alignment horizontal="center" vertical="center"/>
      <protection locked="0"/>
    </xf>
    <xf numFmtId="49" fontId="66" fillId="26" borderId="17" xfId="1" applyNumberFormat="1" applyFont="1" applyFill="1" applyBorder="1" applyAlignment="1" applyProtection="1">
      <alignment horizontal="center" vertical="center"/>
      <protection locked="0"/>
    </xf>
    <xf numFmtId="49" fontId="86" fillId="2" borderId="32" xfId="1" applyNumberFormat="1" applyFont="1" applyFill="1" applyBorder="1" applyAlignment="1" applyProtection="1">
      <alignment horizontal="center" vertical="center"/>
      <protection locked="0"/>
    </xf>
    <xf numFmtId="0" fontId="87" fillId="3" borderId="65" xfId="0" applyFont="1" applyFill="1" applyBorder="1" applyAlignment="1">
      <alignment horizontal="center" vertical="center" wrapText="1"/>
    </xf>
    <xf numFmtId="0" fontId="87" fillId="3" borderId="69" xfId="0" applyFont="1" applyFill="1" applyBorder="1" applyAlignment="1">
      <alignment horizontal="center" vertical="center" wrapText="1"/>
    </xf>
    <xf numFmtId="0" fontId="88" fillId="6" borderId="65" xfId="0" applyFont="1" applyFill="1" applyBorder="1" applyAlignment="1">
      <alignment horizontal="center" vertical="center" wrapText="1"/>
    </xf>
    <xf numFmtId="0" fontId="77" fillId="20" borderId="66" xfId="0" applyFont="1" applyFill="1" applyBorder="1" applyAlignment="1">
      <alignment horizontal="center" vertical="center" wrapText="1"/>
    </xf>
    <xf numFmtId="0" fontId="14" fillId="26" borderId="3" xfId="1" applyFont="1" applyFill="1" applyBorder="1" applyAlignment="1">
      <alignment horizontal="center" vertical="center" wrapText="1"/>
    </xf>
    <xf numFmtId="0" fontId="14" fillId="26" borderId="17" xfId="1" applyFont="1" applyFill="1" applyBorder="1" applyAlignment="1">
      <alignment horizontal="center" vertical="center" wrapText="1"/>
    </xf>
    <xf numFmtId="0" fontId="14" fillId="19" borderId="3" xfId="1" applyFont="1" applyFill="1" applyBorder="1" applyAlignment="1">
      <alignment horizontal="center" vertical="center" wrapText="1"/>
    </xf>
    <xf numFmtId="0" fontId="14" fillId="20" borderId="48" xfId="1" applyFont="1" applyFill="1" applyBorder="1" applyAlignment="1">
      <alignment horizontal="center" vertical="center" wrapText="1"/>
    </xf>
    <xf numFmtId="0" fontId="8" fillId="2" borderId="141" xfId="1" applyFont="1" applyFill="1" applyBorder="1" applyAlignment="1">
      <alignment horizontal="center" vertical="center"/>
    </xf>
    <xf numFmtId="0" fontId="9" fillId="12" borderId="10" xfId="1" applyFont="1" applyFill="1" applyBorder="1" applyAlignment="1" applyProtection="1">
      <alignment horizontal="center" vertical="center" wrapText="1"/>
      <protection locked="0"/>
    </xf>
    <xf numFmtId="0" fontId="9" fillId="12" borderId="34" xfId="1" applyFont="1" applyFill="1" applyBorder="1" applyAlignment="1" applyProtection="1">
      <alignment horizontal="center" vertical="center" wrapText="1"/>
      <protection locked="0"/>
    </xf>
    <xf numFmtId="0" fontId="9" fillId="2" borderId="15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49" fontId="89" fillId="2" borderId="4" xfId="1" applyNumberFormat="1" applyFont="1" applyFill="1" applyBorder="1" applyAlignment="1" applyProtection="1">
      <alignment horizontal="center" vertical="center"/>
      <protection locked="0"/>
    </xf>
    <xf numFmtId="49" fontId="85" fillId="2" borderId="15" xfId="1" applyNumberFormat="1" applyFont="1" applyFill="1" applyBorder="1" applyAlignment="1" applyProtection="1">
      <alignment horizontal="center" vertical="center"/>
      <protection locked="0"/>
    </xf>
    <xf numFmtId="49" fontId="90" fillId="2" borderId="4" xfId="1" applyNumberFormat="1" applyFont="1" applyFill="1" applyBorder="1" applyAlignment="1" applyProtection="1">
      <alignment horizontal="center" vertical="center"/>
      <protection locked="0"/>
    </xf>
    <xf numFmtId="0" fontId="9" fillId="2" borderId="50" xfId="1" applyFont="1" applyFill="1" applyBorder="1" applyAlignment="1">
      <alignment horizontal="center" vertical="center"/>
    </xf>
    <xf numFmtId="0" fontId="8" fillId="2" borderId="45" xfId="1" applyFont="1" applyFill="1" applyBorder="1" applyAlignment="1">
      <alignment horizontal="center" vertical="center"/>
    </xf>
    <xf numFmtId="49" fontId="66" fillId="11" borderId="0" xfId="1" applyNumberFormat="1" applyFont="1" applyFill="1" applyAlignment="1" applyProtection="1">
      <alignment horizontal="center" vertical="center"/>
      <protection locked="0"/>
    </xf>
    <xf numFmtId="49" fontId="66" fillId="11" borderId="15" xfId="1" applyNumberFormat="1" applyFont="1" applyFill="1" applyBorder="1" applyAlignment="1" applyProtection="1">
      <alignment horizontal="center" vertical="center"/>
      <protection locked="0"/>
    </xf>
    <xf numFmtId="0" fontId="9" fillId="12" borderId="168" xfId="1" applyFont="1" applyFill="1" applyBorder="1" applyAlignment="1" applyProtection="1">
      <alignment horizontal="center" vertical="center" wrapText="1"/>
      <protection locked="0"/>
    </xf>
    <xf numFmtId="49" fontId="9" fillId="9" borderId="0" xfId="1" applyNumberFormat="1" applyFont="1" applyFill="1" applyAlignment="1" applyProtection="1">
      <alignment horizontal="center" vertical="center"/>
      <protection locked="0"/>
    </xf>
    <xf numFmtId="0" fontId="76" fillId="0" borderId="0" xfId="0" applyFont="1"/>
    <xf numFmtId="0" fontId="91" fillId="0" borderId="0" xfId="0" applyFont="1"/>
    <xf numFmtId="0" fontId="92" fillId="0" borderId="0" xfId="0" applyFont="1"/>
    <xf numFmtId="0" fontId="92" fillId="14" borderId="0" xfId="0" applyFont="1" applyFill="1"/>
    <xf numFmtId="0" fontId="10" fillId="14" borderId="0" xfId="0" applyFont="1" applyFill="1"/>
    <xf numFmtId="0" fontId="8" fillId="2" borderId="60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80" xfId="1" applyFont="1" applyFill="1" applyBorder="1" applyAlignment="1">
      <alignment horizontal="center" vertical="center"/>
    </xf>
    <xf numFmtId="49" fontId="85" fillId="25" borderId="81" xfId="1" applyNumberFormat="1" applyFont="1" applyFill="1" applyBorder="1" applyAlignment="1" applyProtection="1">
      <alignment horizontal="center" vertical="center"/>
      <protection locked="0"/>
    </xf>
    <xf numFmtId="0" fontId="10" fillId="0" borderId="108" xfId="0" applyFont="1" applyBorder="1"/>
    <xf numFmtId="0" fontId="14" fillId="6" borderId="113" xfId="1" applyFont="1" applyFill="1" applyBorder="1" applyAlignment="1">
      <alignment horizontal="center" vertical="center" wrapText="1"/>
    </xf>
    <xf numFmtId="0" fontId="10" fillId="0" borderId="170" xfId="0" applyFont="1" applyBorder="1"/>
    <xf numFmtId="0" fontId="14" fillId="6" borderId="100" xfId="1" applyFont="1" applyFill="1" applyBorder="1" applyAlignment="1">
      <alignment horizontal="center" vertical="center" wrapText="1"/>
    </xf>
    <xf numFmtId="0" fontId="9" fillId="6" borderId="15" xfId="1" applyFont="1" applyFill="1" applyBorder="1" applyAlignment="1" applyProtection="1">
      <alignment horizontal="center" vertical="center" wrapText="1"/>
      <protection locked="0"/>
    </xf>
    <xf numFmtId="0" fontId="10" fillId="0" borderId="114" xfId="0" applyFont="1" applyBorder="1"/>
    <xf numFmtId="0" fontId="14" fillId="6" borderId="86" xfId="1" applyFont="1" applyFill="1" applyBorder="1" applyAlignment="1">
      <alignment horizontal="center" vertical="center" wrapText="1"/>
    </xf>
    <xf numFmtId="20" fontId="66" fillId="2" borderId="3" xfId="0" applyNumberFormat="1" applyFont="1" applyFill="1" applyBorder="1" applyAlignment="1">
      <alignment horizontal="center" vertical="center"/>
    </xf>
    <xf numFmtId="49" fontId="79" fillId="2" borderId="3" xfId="1" applyNumberFormat="1" applyFont="1" applyFill="1" applyBorder="1" applyAlignment="1" applyProtection="1">
      <alignment horizontal="center" vertical="center"/>
      <protection locked="0"/>
    </xf>
    <xf numFmtId="0" fontId="94" fillId="0" borderId="0" xfId="0" applyFont="1"/>
    <xf numFmtId="0" fontId="9" fillId="2" borderId="92" xfId="1" applyFont="1" applyFill="1" applyBorder="1" applyAlignment="1">
      <alignment horizontal="center" vertical="center" wrapText="1"/>
    </xf>
    <xf numFmtId="0" fontId="14" fillId="6" borderId="91" xfId="1" applyFont="1" applyFill="1" applyBorder="1" applyAlignment="1">
      <alignment horizontal="center" vertical="center" wrapText="1"/>
    </xf>
    <xf numFmtId="0" fontId="9" fillId="2" borderId="110" xfId="1" applyFont="1" applyFill="1" applyBorder="1" applyAlignment="1">
      <alignment horizontal="center" vertical="center" wrapText="1"/>
    </xf>
    <xf numFmtId="0" fontId="9" fillId="2" borderId="82" xfId="1" applyFont="1" applyFill="1" applyBorder="1" applyAlignment="1">
      <alignment horizontal="center" vertical="center" wrapText="1"/>
    </xf>
    <xf numFmtId="0" fontId="14" fillId="6" borderId="111" xfId="1" applyFont="1" applyFill="1" applyBorder="1" applyAlignment="1">
      <alignment horizontal="center" vertical="center" wrapText="1"/>
    </xf>
    <xf numFmtId="0" fontId="14" fillId="6" borderId="99" xfId="1" applyFont="1" applyFill="1" applyBorder="1" applyAlignment="1">
      <alignment horizontal="center" vertical="center" wrapText="1"/>
    </xf>
    <xf numFmtId="0" fontId="66" fillId="28" borderId="42" xfId="0" applyFont="1" applyFill="1" applyBorder="1" applyAlignment="1">
      <alignment horizontal="center" vertical="center"/>
    </xf>
    <xf numFmtId="0" fontId="66" fillId="28" borderId="17" xfId="0" applyFont="1" applyFill="1" applyBorder="1" applyAlignment="1">
      <alignment horizontal="center" vertical="center"/>
    </xf>
    <xf numFmtId="0" fontId="83" fillId="28" borderId="42" xfId="0" applyFont="1" applyFill="1" applyBorder="1" applyAlignment="1">
      <alignment horizontal="center" vertical="center"/>
    </xf>
    <xf numFmtId="0" fontId="83" fillId="28" borderId="50" xfId="0" applyFont="1" applyFill="1" applyBorder="1" applyAlignment="1">
      <alignment horizontal="center" vertical="center"/>
    </xf>
    <xf numFmtId="0" fontId="83" fillId="28" borderId="17" xfId="0" applyFont="1" applyFill="1" applyBorder="1" applyAlignment="1">
      <alignment horizontal="center" vertical="center"/>
    </xf>
    <xf numFmtId="0" fontId="83" fillId="29" borderId="42" xfId="0" applyFont="1" applyFill="1" applyBorder="1" applyAlignment="1">
      <alignment horizontal="center" vertical="center"/>
    </xf>
    <xf numFmtId="0" fontId="83" fillId="28" borderId="42" xfId="0" applyFont="1" applyFill="1" applyBorder="1" applyAlignment="1">
      <alignment horizontal="center" vertical="center" wrapText="1"/>
    </xf>
    <xf numFmtId="0" fontId="83" fillId="28" borderId="48" xfId="0" applyFont="1" applyFill="1" applyBorder="1" applyAlignment="1">
      <alignment horizontal="center" vertical="center"/>
    </xf>
    <xf numFmtId="0" fontId="83" fillId="28" borderId="15" xfId="0" applyFont="1" applyFill="1" applyBorder="1" applyAlignment="1">
      <alignment horizontal="center" vertical="center"/>
    </xf>
    <xf numFmtId="0" fontId="84" fillId="29" borderId="62" xfId="0" applyFont="1" applyFill="1" applyBorder="1" applyAlignment="1">
      <alignment horizontal="center" vertical="center"/>
    </xf>
    <xf numFmtId="0" fontId="84" fillId="28" borderId="17" xfId="0" applyFont="1" applyFill="1" applyBorder="1" applyAlignment="1">
      <alignment horizontal="center" vertical="center"/>
    </xf>
    <xf numFmtId="0" fontId="66" fillId="28" borderId="152" xfId="0" applyFont="1" applyFill="1" applyBorder="1" applyAlignment="1">
      <alignment horizontal="center" vertical="center"/>
    </xf>
    <xf numFmtId="0" fontId="66" fillId="28" borderId="56" xfId="0" applyFont="1" applyFill="1" applyBorder="1" applyAlignment="1">
      <alignment horizontal="center" vertical="center"/>
    </xf>
    <xf numFmtId="0" fontId="66" fillId="28" borderId="46" xfId="0" applyFont="1" applyFill="1" applyBorder="1" applyAlignment="1">
      <alignment horizontal="center" vertical="center"/>
    </xf>
    <xf numFmtId="0" fontId="83" fillId="28" borderId="56" xfId="0" applyFont="1" applyFill="1" applyBorder="1" applyAlignment="1">
      <alignment horizontal="center" vertical="center"/>
    </xf>
    <xf numFmtId="0" fontId="83" fillId="28" borderId="46" xfId="0" applyFont="1" applyFill="1" applyBorder="1" applyAlignment="1">
      <alignment horizontal="center" vertical="center"/>
    </xf>
    <xf numFmtId="0" fontId="95" fillId="28" borderId="46" xfId="0" applyFont="1" applyFill="1" applyBorder="1" applyAlignment="1">
      <alignment horizontal="center" vertical="center"/>
    </xf>
    <xf numFmtId="0" fontId="85" fillId="29" borderId="46" xfId="0" applyFont="1" applyFill="1" applyBorder="1" applyAlignment="1">
      <alignment horizontal="center" vertical="center"/>
    </xf>
    <xf numFmtId="0" fontId="85" fillId="29" borderId="56" xfId="0" applyFont="1" applyFill="1" applyBorder="1" applyAlignment="1">
      <alignment horizontal="center" vertical="center"/>
    </xf>
    <xf numFmtId="0" fontId="95" fillId="28" borderId="56" xfId="0" applyFont="1" applyFill="1" applyBorder="1" applyAlignment="1">
      <alignment horizontal="center" vertical="center"/>
    </xf>
    <xf numFmtId="0" fontId="95" fillId="29" borderId="56" xfId="0" applyFont="1" applyFill="1" applyBorder="1" applyAlignment="1">
      <alignment horizontal="center" vertical="center"/>
    </xf>
    <xf numFmtId="0" fontId="66" fillId="28" borderId="167" xfId="0" applyFont="1" applyFill="1" applyBorder="1" applyAlignment="1">
      <alignment horizontal="center" vertical="center"/>
    </xf>
    <xf numFmtId="0" fontId="66" fillId="28" borderId="0" xfId="0" applyFont="1" applyFill="1" applyAlignment="1">
      <alignment horizontal="center" vertical="center"/>
    </xf>
    <xf numFmtId="0" fontId="66" fillId="29" borderId="42" xfId="0" applyFont="1" applyFill="1" applyBorder="1" applyAlignment="1">
      <alignment horizontal="center" vertical="center"/>
    </xf>
    <xf numFmtId="0" fontId="66" fillId="29" borderId="62" xfId="0" applyFont="1" applyFill="1" applyBorder="1" applyAlignment="1">
      <alignment horizontal="center" vertical="center"/>
    </xf>
    <xf numFmtId="0" fontId="66" fillId="28" borderId="15" xfId="0" applyFont="1" applyFill="1" applyBorder="1" applyAlignment="1">
      <alignment horizontal="center" vertical="center"/>
    </xf>
    <xf numFmtId="0" fontId="66" fillId="28" borderId="158" xfId="0" applyFont="1" applyFill="1" applyBorder="1" applyAlignment="1">
      <alignment horizontal="center" vertical="center"/>
    </xf>
    <xf numFmtId="0" fontId="66" fillId="28" borderId="81" xfId="0" applyFont="1" applyFill="1" applyBorder="1" applyAlignment="1">
      <alignment horizontal="center" vertical="center"/>
    </xf>
    <xf numFmtId="0" fontId="85" fillId="29" borderId="32" xfId="0" applyFont="1" applyFill="1" applyBorder="1" applyAlignment="1">
      <alignment horizontal="center" vertical="center"/>
    </xf>
    <xf numFmtId="0" fontId="85" fillId="28" borderId="81" xfId="0" applyFont="1" applyFill="1" applyBorder="1" applyAlignment="1">
      <alignment horizontal="center" vertical="center"/>
    </xf>
    <xf numFmtId="0" fontId="85" fillId="28" borderId="82" xfId="0" applyFont="1" applyFill="1" applyBorder="1" applyAlignment="1">
      <alignment horizontal="center" vertical="center"/>
    </xf>
    <xf numFmtId="0" fontId="93" fillId="29" borderId="4" xfId="0" applyFont="1" applyFill="1" applyBorder="1" applyAlignment="1">
      <alignment horizontal="center" vertical="center"/>
    </xf>
    <xf numFmtId="0" fontId="85" fillId="29" borderId="4" xfId="0" applyFont="1" applyFill="1" applyBorder="1" applyAlignment="1">
      <alignment horizontal="center" vertical="center"/>
    </xf>
    <xf numFmtId="0" fontId="93" fillId="28" borderId="82" xfId="0" applyFont="1" applyFill="1" applyBorder="1" applyAlignment="1">
      <alignment horizontal="center" vertical="center"/>
    </xf>
    <xf numFmtId="0" fontId="66" fillId="29" borderId="32" xfId="0" applyFont="1" applyFill="1" applyBorder="1" applyAlignment="1">
      <alignment horizontal="center" vertical="center"/>
    </xf>
    <xf numFmtId="0" fontId="93" fillId="28" borderId="81" xfId="0" applyFont="1" applyFill="1" applyBorder="1" applyAlignment="1">
      <alignment horizontal="center" vertical="center"/>
    </xf>
    <xf numFmtId="0" fontId="66" fillId="28" borderId="3" xfId="0" applyFont="1" applyFill="1" applyBorder="1" applyAlignment="1">
      <alignment horizontal="center" vertical="center"/>
    </xf>
    <xf numFmtId="0" fontId="66" fillId="30" borderId="42" xfId="0" applyFont="1" applyFill="1" applyBorder="1" applyAlignment="1">
      <alignment horizontal="center" vertical="center"/>
    </xf>
    <xf numFmtId="0" fontId="66" fillId="30" borderId="17" xfId="0" applyFont="1" applyFill="1" applyBorder="1" applyAlignment="1">
      <alignment horizontal="center" vertical="center"/>
    </xf>
    <xf numFmtId="0" fontId="66" fillId="29" borderId="17" xfId="0" applyFont="1" applyFill="1" applyBorder="1" applyAlignment="1">
      <alignment horizontal="center" vertical="center"/>
    </xf>
    <xf numFmtId="0" fontId="85" fillId="28" borderId="165" xfId="0" applyFont="1" applyFill="1" applyBorder="1" applyAlignment="1">
      <alignment horizontal="center" vertical="center"/>
    </xf>
    <xf numFmtId="0" fontId="85" fillId="28" borderId="109" xfId="0" applyFont="1" applyFill="1" applyBorder="1" applyAlignment="1">
      <alignment horizontal="center" vertical="center"/>
    </xf>
    <xf numFmtId="0" fontId="66" fillId="28" borderId="110" xfId="0" applyFont="1" applyFill="1" applyBorder="1" applyAlignment="1">
      <alignment horizontal="center" vertical="center"/>
    </xf>
    <xf numFmtId="0" fontId="66" fillId="28" borderId="109" xfId="0" applyFont="1" applyFill="1" applyBorder="1" applyAlignment="1">
      <alignment horizontal="center" vertical="center"/>
    </xf>
    <xf numFmtId="0" fontId="66" fillId="29" borderId="106" xfId="0" applyFont="1" applyFill="1" applyBorder="1" applyAlignment="1">
      <alignment horizontal="center" vertical="center"/>
    </xf>
    <xf numFmtId="0" fontId="66" fillId="28" borderId="106" xfId="0" applyFont="1" applyFill="1" applyBorder="1" applyAlignment="1">
      <alignment horizontal="center" vertical="center"/>
    </xf>
    <xf numFmtId="0" fontId="66" fillId="29" borderId="107" xfId="0" applyFont="1" applyFill="1" applyBorder="1" applyAlignment="1">
      <alignment horizontal="center" vertical="center"/>
    </xf>
    <xf numFmtId="0" fontId="66" fillId="29" borderId="109" xfId="0" applyFont="1" applyFill="1" applyBorder="1" applyAlignment="1">
      <alignment horizontal="center" vertical="center"/>
    </xf>
    <xf numFmtId="0" fontId="85" fillId="28" borderId="166" xfId="0" applyFont="1" applyFill="1" applyBorder="1" applyAlignment="1">
      <alignment horizontal="center" vertical="center"/>
    </xf>
    <xf numFmtId="0" fontId="85" fillId="28" borderId="4" xfId="0" applyFont="1" applyFill="1" applyBorder="1" applyAlignment="1">
      <alignment horizontal="center" vertical="center"/>
    </xf>
    <xf numFmtId="0" fontId="85" fillId="28" borderId="45" xfId="0" applyFont="1" applyFill="1" applyBorder="1" applyAlignment="1">
      <alignment horizontal="center" vertical="center"/>
    </xf>
    <xf numFmtId="0" fontId="85" fillId="28" borderId="17" xfId="0" applyFont="1" applyFill="1" applyBorder="1" applyAlignment="1">
      <alignment horizontal="center" vertical="center"/>
    </xf>
    <xf numFmtId="0" fontId="85" fillId="28" borderId="32" xfId="0" applyFont="1" applyFill="1" applyBorder="1" applyAlignment="1">
      <alignment horizontal="center" vertical="center"/>
    </xf>
    <xf numFmtId="0" fontId="85" fillId="28" borderId="15" xfId="0" applyFont="1" applyFill="1" applyBorder="1" applyAlignment="1">
      <alignment horizontal="center" vertical="center"/>
    </xf>
    <xf numFmtId="0" fontId="85" fillId="29" borderId="15" xfId="0" applyFont="1" applyFill="1" applyBorder="1" applyAlignment="1">
      <alignment horizontal="center" vertical="center"/>
    </xf>
    <xf numFmtId="0" fontId="85" fillId="28" borderId="3" xfId="0" applyFont="1" applyFill="1" applyBorder="1" applyAlignment="1">
      <alignment horizontal="center" vertical="center"/>
    </xf>
    <xf numFmtId="0" fontId="85" fillId="28" borderId="0" xfId="0" applyFont="1" applyFill="1" applyAlignment="1">
      <alignment horizontal="center" vertical="center"/>
    </xf>
    <xf numFmtId="0" fontId="66" fillId="29" borderId="15" xfId="0" applyFont="1" applyFill="1" applyBorder="1" applyAlignment="1">
      <alignment horizontal="center" vertical="center"/>
    </xf>
    <xf numFmtId="0" fontId="85" fillId="29" borderId="45" xfId="0" applyFont="1" applyFill="1" applyBorder="1" applyAlignment="1">
      <alignment horizontal="center" vertical="center"/>
    </xf>
    <xf numFmtId="0" fontId="66" fillId="29" borderId="99" xfId="0" applyFont="1" applyFill="1" applyBorder="1" applyAlignment="1">
      <alignment horizontal="center" vertical="center"/>
    </xf>
    <xf numFmtId="0" fontId="66" fillId="28" borderId="76" xfId="0" applyFont="1" applyFill="1" applyBorder="1" applyAlignment="1">
      <alignment horizontal="center" vertical="center"/>
    </xf>
    <xf numFmtId="0" fontId="66" fillId="28" borderId="4" xfId="0" applyFont="1" applyFill="1" applyBorder="1" applyAlignment="1">
      <alignment horizontal="center" vertical="center"/>
    </xf>
    <xf numFmtId="0" fontId="85" fillId="28" borderId="83" xfId="0" applyFont="1" applyFill="1" applyBorder="1" applyAlignment="1">
      <alignment horizontal="center" vertical="center"/>
    </xf>
    <xf numFmtId="0" fontId="97" fillId="28" borderId="3" xfId="0" applyFont="1" applyFill="1" applyBorder="1" applyAlignment="1">
      <alignment horizontal="center" vertical="center"/>
    </xf>
    <xf numFmtId="0" fontId="66" fillId="28" borderId="50" xfId="0" applyFont="1" applyFill="1" applyBorder="1" applyAlignment="1">
      <alignment horizontal="center" vertical="center"/>
    </xf>
    <xf numFmtId="0" fontId="85" fillId="28" borderId="98" xfId="0" applyFont="1" applyFill="1" applyBorder="1" applyAlignment="1">
      <alignment horizontal="center" vertical="center"/>
    </xf>
    <xf numFmtId="0" fontId="85" fillId="28" borderId="42" xfId="0" applyFont="1" applyFill="1" applyBorder="1" applyAlignment="1">
      <alignment horizontal="center" vertical="center"/>
    </xf>
    <xf numFmtId="0" fontId="85" fillId="29" borderId="17" xfId="0" applyFont="1" applyFill="1" applyBorder="1" applyAlignment="1">
      <alignment horizontal="center" vertical="center"/>
    </xf>
    <xf numFmtId="0" fontId="66" fillId="28" borderId="98" xfId="0" applyFont="1" applyFill="1" applyBorder="1" applyAlignment="1">
      <alignment horizontal="center" vertical="center"/>
    </xf>
    <xf numFmtId="0" fontId="85" fillId="29" borderId="98" xfId="0" applyFont="1" applyFill="1" applyBorder="1" applyAlignment="1">
      <alignment horizontal="center" vertical="center"/>
    </xf>
    <xf numFmtId="0" fontId="85" fillId="29" borderId="86" xfId="0" applyFont="1" applyFill="1" applyBorder="1" applyAlignment="1">
      <alignment horizontal="center" vertical="center"/>
    </xf>
    <xf numFmtId="0" fontId="85" fillId="28" borderId="99" xfId="0" applyFont="1" applyFill="1" applyBorder="1" applyAlignment="1">
      <alignment horizontal="center" vertical="center"/>
    </xf>
    <xf numFmtId="0" fontId="85" fillId="29" borderId="99" xfId="0" applyFont="1" applyFill="1" applyBorder="1" applyAlignment="1">
      <alignment horizontal="center" vertical="center"/>
    </xf>
    <xf numFmtId="0" fontId="85" fillId="29" borderId="100" xfId="0" applyFont="1" applyFill="1" applyBorder="1" applyAlignment="1">
      <alignment horizontal="center" vertical="center"/>
    </xf>
    <xf numFmtId="0" fontId="85" fillId="28" borderId="36" xfId="0" applyFont="1" applyFill="1" applyBorder="1" applyAlignment="1">
      <alignment horizontal="center" vertical="center"/>
    </xf>
    <xf numFmtId="0" fontId="66" fillId="28" borderId="90" xfId="0" applyFont="1" applyFill="1" applyBorder="1" applyAlignment="1">
      <alignment horizontal="center" vertical="center"/>
    </xf>
    <xf numFmtId="0" fontId="66" fillId="28" borderId="88" xfId="0" applyFont="1" applyFill="1" applyBorder="1" applyAlignment="1">
      <alignment horizontal="center" vertical="center"/>
    </xf>
    <xf numFmtId="0" fontId="51" fillId="29" borderId="17" xfId="0" applyFont="1" applyFill="1" applyBorder="1" applyAlignment="1">
      <alignment horizontal="center" vertical="center"/>
    </xf>
    <xf numFmtId="0" fontId="51" fillId="28" borderId="15" xfId="0" applyFont="1" applyFill="1" applyBorder="1" applyAlignment="1">
      <alignment horizontal="center" vertical="center"/>
    </xf>
    <xf numFmtId="0" fontId="51" fillId="28" borderId="17" xfId="0" applyFont="1" applyFill="1" applyBorder="1" applyAlignment="1">
      <alignment horizontal="center" vertical="center"/>
    </xf>
    <xf numFmtId="0" fontId="66" fillId="28" borderId="68" xfId="0" applyFont="1" applyFill="1" applyBorder="1" applyAlignment="1">
      <alignment horizontal="center" vertical="center"/>
    </xf>
    <xf numFmtId="0" fontId="85" fillId="28" borderId="90" xfId="0" applyFont="1" applyFill="1" applyBorder="1" applyAlignment="1">
      <alignment horizontal="center" vertical="center"/>
    </xf>
    <xf numFmtId="0" fontId="85" fillId="28" borderId="91" xfId="0" applyFont="1" applyFill="1" applyBorder="1" applyAlignment="1">
      <alignment horizontal="center" vertical="center"/>
    </xf>
    <xf numFmtId="0" fontId="85" fillId="28" borderId="92" xfId="0" applyFont="1" applyFill="1" applyBorder="1" applyAlignment="1">
      <alignment horizontal="center" vertical="center"/>
    </xf>
    <xf numFmtId="0" fontId="85" fillId="28" borderId="89" xfId="0" applyFont="1" applyFill="1" applyBorder="1" applyAlignment="1">
      <alignment horizontal="center" vertical="center"/>
    </xf>
    <xf numFmtId="0" fontId="85" fillId="28" borderId="93" xfId="0" applyFont="1" applyFill="1" applyBorder="1" applyAlignment="1">
      <alignment horizontal="center" vertical="center"/>
    </xf>
    <xf numFmtId="0" fontId="66" fillId="28" borderId="169" xfId="0" applyFont="1" applyFill="1" applyBorder="1" applyAlignment="1">
      <alignment horizontal="center" vertical="center"/>
    </xf>
    <xf numFmtId="0" fontId="66" fillId="29" borderId="98" xfId="0" applyFont="1" applyFill="1" applyBorder="1" applyAlignment="1">
      <alignment horizontal="center" vertical="center"/>
    </xf>
    <xf numFmtId="0" fontId="66" fillId="29" borderId="0" xfId="0" applyFont="1" applyFill="1" applyAlignment="1">
      <alignment horizontal="center" vertical="center"/>
    </xf>
    <xf numFmtId="0" fontId="8" fillId="29" borderId="71" xfId="0" applyFont="1" applyFill="1" applyBorder="1" applyAlignment="1">
      <alignment horizontal="center" vertical="center"/>
    </xf>
    <xf numFmtId="0" fontId="8" fillId="28" borderId="0" xfId="0" applyFont="1" applyFill="1" applyAlignment="1">
      <alignment horizontal="center" vertical="center"/>
    </xf>
    <xf numFmtId="0" fontId="96" fillId="28" borderId="17" xfId="0" applyFont="1" applyFill="1" applyBorder="1" applyAlignment="1">
      <alignment horizontal="center" vertical="center"/>
    </xf>
    <xf numFmtId="0" fontId="66" fillId="28" borderId="147" xfId="0" applyFont="1" applyFill="1" applyBorder="1" applyAlignment="1">
      <alignment horizontal="center" vertical="center"/>
    </xf>
    <xf numFmtId="0" fontId="85" fillId="28" borderId="117" xfId="0" applyFont="1" applyFill="1" applyBorder="1" applyAlignment="1">
      <alignment horizontal="center" vertical="center"/>
    </xf>
    <xf numFmtId="0" fontId="85" fillId="29" borderId="117" xfId="0" applyFont="1" applyFill="1" applyBorder="1" applyAlignment="1">
      <alignment horizontal="center" vertical="center"/>
    </xf>
    <xf numFmtId="0" fontId="66" fillId="28" borderId="83" xfId="0" applyFont="1" applyFill="1" applyBorder="1" applyAlignment="1">
      <alignment horizontal="center" vertical="center"/>
    </xf>
    <xf numFmtId="0" fontId="66" fillId="28" borderId="82" xfId="0" applyFont="1" applyFill="1" applyBorder="1" applyAlignment="1">
      <alignment horizontal="center" vertical="center"/>
    </xf>
    <xf numFmtId="0" fontId="66" fillId="29" borderId="72" xfId="0" applyFont="1" applyFill="1" applyBorder="1" applyAlignment="1">
      <alignment horizontal="center" vertical="center"/>
    </xf>
    <xf numFmtId="0" fontId="85" fillId="28" borderId="80" xfId="0" applyFont="1" applyFill="1" applyBorder="1" applyAlignment="1">
      <alignment horizontal="center" vertical="center"/>
    </xf>
    <xf numFmtId="0" fontId="66" fillId="28" borderId="159" xfId="0" applyFont="1" applyFill="1" applyBorder="1" applyAlignment="1">
      <alignment horizontal="center" vertical="center"/>
    </xf>
    <xf numFmtId="0" fontId="57" fillId="28" borderId="17" xfId="0" applyFont="1" applyFill="1" applyBorder="1" applyAlignment="1">
      <alignment horizontal="center" vertical="center"/>
    </xf>
    <xf numFmtId="0" fontId="66" fillId="28" borderId="78" xfId="0" applyFont="1" applyFill="1" applyBorder="1" applyAlignment="1">
      <alignment horizontal="center" vertical="center"/>
    </xf>
    <xf numFmtId="0" fontId="66" fillId="28" borderId="160" xfId="0" applyFont="1" applyFill="1" applyBorder="1" applyAlignment="1">
      <alignment horizontal="center" vertical="center"/>
    </xf>
    <xf numFmtId="0" fontId="66" fillId="28" borderId="72" xfId="0" applyFont="1" applyFill="1" applyBorder="1" applyAlignment="1">
      <alignment horizontal="center" vertical="center"/>
    </xf>
    <xf numFmtId="0" fontId="51" fillId="28" borderId="3" xfId="0" applyFont="1" applyFill="1" applyBorder="1" applyAlignment="1">
      <alignment horizontal="center" vertical="center"/>
    </xf>
    <xf numFmtId="0" fontId="51" fillId="28" borderId="78" xfId="0" applyFont="1" applyFill="1" applyBorder="1" applyAlignment="1">
      <alignment horizontal="center" vertical="center"/>
    </xf>
    <xf numFmtId="0" fontId="51" fillId="29" borderId="0" xfId="0" applyFont="1" applyFill="1" applyAlignment="1">
      <alignment horizontal="center" vertical="center"/>
    </xf>
    <xf numFmtId="0" fontId="51" fillId="28" borderId="42" xfId="0" applyFont="1" applyFill="1" applyBorder="1" applyAlignment="1">
      <alignment horizontal="center" vertical="center"/>
    </xf>
    <xf numFmtId="0" fontId="51" fillId="28" borderId="0" xfId="0" applyFont="1" applyFill="1" applyAlignment="1">
      <alignment horizontal="center" vertical="center"/>
    </xf>
    <xf numFmtId="0" fontId="51" fillId="28" borderId="112" xfId="0" applyFont="1" applyFill="1" applyBorder="1" applyAlignment="1">
      <alignment horizontal="center" vertical="center"/>
    </xf>
    <xf numFmtId="0" fontId="57" fillId="28" borderId="83" xfId="0" applyFont="1" applyFill="1" applyBorder="1" applyAlignment="1">
      <alignment horizontal="center" vertical="center"/>
    </xf>
    <xf numFmtId="0" fontId="51" fillId="28" borderId="83" xfId="0" applyFont="1" applyFill="1" applyBorder="1" applyAlignment="1">
      <alignment horizontal="center" vertical="center"/>
    </xf>
    <xf numFmtId="0" fontId="51" fillId="28" borderId="81" xfId="0" applyFont="1" applyFill="1" applyBorder="1" applyAlignment="1">
      <alignment horizontal="center" vertical="center"/>
    </xf>
    <xf numFmtId="0" fontId="51" fillId="28" borderId="82" xfId="0" applyFont="1" applyFill="1" applyBorder="1" applyAlignment="1">
      <alignment horizontal="center" vertical="center"/>
    </xf>
    <xf numFmtId="0" fontId="51" fillId="28" borderId="4" xfId="0" applyFont="1" applyFill="1" applyBorder="1" applyAlignment="1">
      <alignment horizontal="center" vertical="center"/>
    </xf>
    <xf numFmtId="0" fontId="51" fillId="29" borderId="81" xfId="0" applyFont="1" applyFill="1" applyBorder="1" applyAlignment="1">
      <alignment horizontal="center" vertical="center"/>
    </xf>
    <xf numFmtId="0" fontId="51" fillId="28" borderId="72" xfId="0" applyFont="1" applyFill="1" applyBorder="1" applyAlignment="1">
      <alignment horizontal="center" vertical="center"/>
    </xf>
    <xf numFmtId="0" fontId="51" fillId="29" borderId="80" xfId="0" applyFont="1" applyFill="1" applyBorder="1" applyAlignment="1">
      <alignment horizontal="center" vertical="center"/>
    </xf>
    <xf numFmtId="0" fontId="51" fillId="28" borderId="80" xfId="0" applyFont="1" applyFill="1" applyBorder="1" applyAlignment="1">
      <alignment horizontal="center" vertical="center"/>
    </xf>
    <xf numFmtId="0" fontId="51" fillId="28" borderId="76" xfId="0" applyFont="1" applyFill="1" applyBorder="1" applyAlignment="1">
      <alignment horizontal="center" vertical="center"/>
    </xf>
    <xf numFmtId="0" fontId="66" fillId="29" borderId="81" xfId="0" applyFont="1" applyFill="1" applyBorder="1" applyAlignment="1">
      <alignment horizontal="center" vertical="center"/>
    </xf>
    <xf numFmtId="0" fontId="66" fillId="28" borderId="112" xfId="0" applyFont="1" applyFill="1" applyBorder="1" applyAlignment="1">
      <alignment horizontal="center" vertical="center"/>
    </xf>
    <xf numFmtId="0" fontId="85" fillId="28" borderId="160" xfId="0" applyFont="1" applyFill="1" applyBorder="1" applyAlignment="1">
      <alignment horizontal="center" vertical="center"/>
    </xf>
    <xf numFmtId="0" fontId="85" fillId="29" borderId="81" xfId="0" applyFont="1" applyFill="1" applyBorder="1" applyAlignment="1">
      <alignment horizontal="center" vertical="center"/>
    </xf>
    <xf numFmtId="0" fontId="85" fillId="29" borderId="80" xfId="0" applyFont="1" applyFill="1" applyBorder="1" applyAlignment="1">
      <alignment horizontal="center" vertical="center"/>
    </xf>
    <xf numFmtId="0" fontId="66" fillId="29" borderId="83" xfId="0" applyFont="1" applyFill="1" applyBorder="1" applyAlignment="1">
      <alignment horizontal="center" vertical="center"/>
    </xf>
    <xf numFmtId="0" fontId="93" fillId="28" borderId="167" xfId="0" applyFont="1" applyFill="1" applyBorder="1" applyAlignment="1">
      <alignment horizontal="center" vertical="center"/>
    </xf>
    <xf numFmtId="0" fontId="93" fillId="28" borderId="17" xfId="0" applyFont="1" applyFill="1" applyBorder="1" applyAlignment="1">
      <alignment horizontal="center" vertical="center"/>
    </xf>
    <xf numFmtId="0" fontId="93" fillId="28" borderId="109" xfId="0" applyFont="1" applyFill="1" applyBorder="1" applyAlignment="1">
      <alignment horizontal="center" vertical="center"/>
    </xf>
    <xf numFmtId="0" fontId="93" fillId="28" borderId="110" xfId="0" applyFont="1" applyFill="1" applyBorder="1" applyAlignment="1">
      <alignment horizontal="center" vertical="center"/>
    </xf>
    <xf numFmtId="0" fontId="93" fillId="28" borderId="4" xfId="0" applyFont="1" applyFill="1" applyBorder="1" applyAlignment="1">
      <alignment horizontal="center" vertical="center"/>
    </xf>
    <xf numFmtId="0" fontId="93" fillId="28" borderId="45" xfId="0" applyFont="1" applyFill="1" applyBorder="1" applyAlignment="1">
      <alignment horizontal="center" vertical="center"/>
    </xf>
    <xf numFmtId="0" fontId="93" fillId="28" borderId="0" xfId="0" applyFont="1" applyFill="1" applyAlignment="1">
      <alignment horizontal="center" vertical="center"/>
    </xf>
    <xf numFmtId="0" fontId="93" fillId="28" borderId="15" xfId="0" applyFont="1" applyFill="1" applyBorder="1" applyAlignment="1">
      <alignment horizontal="center" vertical="center"/>
    </xf>
    <xf numFmtId="0" fontId="93" fillId="28" borderId="90" xfId="0" applyFont="1" applyFill="1" applyBorder="1" applyAlignment="1">
      <alignment horizontal="center" vertical="center"/>
    </xf>
    <xf numFmtId="0" fontId="93" fillId="28" borderId="88" xfId="0" applyFont="1" applyFill="1" applyBorder="1" applyAlignment="1">
      <alignment horizontal="center" vertical="center"/>
    </xf>
    <xf numFmtId="0" fontId="93" fillId="28" borderId="146" xfId="0" applyFont="1" applyFill="1" applyBorder="1" applyAlignment="1">
      <alignment horizontal="center" vertical="center"/>
    </xf>
    <xf numFmtId="0" fontId="93" fillId="28" borderId="86" xfId="0" applyFont="1" applyFill="1" applyBorder="1" applyAlignment="1">
      <alignment horizontal="center" vertical="center"/>
    </xf>
    <xf numFmtId="0" fontId="93" fillId="28" borderId="80" xfId="0" applyFont="1" applyFill="1" applyBorder="1" applyAlignment="1">
      <alignment horizontal="center" vertical="center"/>
    </xf>
    <xf numFmtId="0" fontId="93" fillId="28" borderId="117" xfId="0" applyFont="1" applyFill="1" applyBorder="1" applyAlignment="1">
      <alignment horizontal="center" vertical="center"/>
    </xf>
    <xf numFmtId="0" fontId="93" fillId="28" borderId="94" xfId="0" applyFont="1" applyFill="1" applyBorder="1" applyAlignment="1">
      <alignment horizontal="center" vertical="center"/>
    </xf>
    <xf numFmtId="0" fontId="93" fillId="28" borderId="42" xfId="0" applyFont="1" applyFill="1" applyBorder="1" applyAlignment="1">
      <alignment horizontal="center" vertical="center"/>
    </xf>
    <xf numFmtId="0" fontId="93" fillId="28" borderId="91" xfId="0" applyFont="1" applyFill="1" applyBorder="1" applyAlignment="1">
      <alignment horizontal="center" vertical="center"/>
    </xf>
    <xf numFmtId="0" fontId="93" fillId="28" borderId="92" xfId="0" applyFont="1" applyFill="1" applyBorder="1" applyAlignment="1">
      <alignment horizontal="center" vertical="center"/>
    </xf>
    <xf numFmtId="0" fontId="93" fillId="29" borderId="32" xfId="0" applyFont="1" applyFill="1" applyBorder="1" applyAlignment="1">
      <alignment horizontal="center" vertical="center"/>
    </xf>
    <xf numFmtId="0" fontId="93" fillId="29" borderId="106" xfId="0" applyFont="1" applyFill="1" applyBorder="1" applyAlignment="1">
      <alignment horizontal="center" vertical="center"/>
    </xf>
    <xf numFmtId="0" fontId="93" fillId="28" borderId="106" xfId="0" applyFont="1" applyFill="1" applyBorder="1" applyAlignment="1">
      <alignment horizontal="center" vertical="center"/>
    </xf>
    <xf numFmtId="0" fontId="93" fillId="28" borderId="32" xfId="0" applyFont="1" applyFill="1" applyBorder="1" applyAlignment="1">
      <alignment horizontal="center" vertical="center"/>
    </xf>
    <xf numFmtId="0" fontId="93" fillId="29" borderId="1" xfId="0" applyFont="1" applyFill="1" applyBorder="1" applyAlignment="1">
      <alignment horizontal="center" vertical="center"/>
    </xf>
    <xf numFmtId="0" fontId="93" fillId="29" borderId="15" xfId="0" applyFont="1" applyFill="1" applyBorder="1" applyAlignment="1">
      <alignment horizontal="center" vertical="center"/>
    </xf>
    <xf numFmtId="0" fontId="93" fillId="28" borderId="1" xfId="0" applyFont="1" applyFill="1" applyBorder="1" applyAlignment="1">
      <alignment horizontal="center" vertical="center"/>
    </xf>
    <xf numFmtId="0" fontId="93" fillId="29" borderId="3" xfId="0" applyFont="1" applyFill="1" applyBorder="1" applyAlignment="1">
      <alignment horizontal="center" vertical="center"/>
    </xf>
    <xf numFmtId="0" fontId="93" fillId="28" borderId="3" xfId="0" applyFont="1" applyFill="1" applyBorder="1" applyAlignment="1">
      <alignment horizontal="center" vertical="center"/>
    </xf>
    <xf numFmtId="0" fontId="93" fillId="29" borderId="17" xfId="0" applyFont="1" applyFill="1" applyBorder="1" applyAlignment="1">
      <alignment horizontal="center" vertical="center"/>
    </xf>
    <xf numFmtId="0" fontId="93" fillId="28" borderId="36" xfId="0" applyFont="1" applyFill="1" applyBorder="1" applyAlignment="1">
      <alignment horizontal="center" vertical="center"/>
    </xf>
    <xf numFmtId="0" fontId="93" fillId="28" borderId="83" xfId="0" applyFont="1" applyFill="1" applyBorder="1" applyAlignment="1">
      <alignment horizontal="center" vertical="center"/>
    </xf>
    <xf numFmtId="0" fontId="93" fillId="29" borderId="81" xfId="0" applyFont="1" applyFill="1" applyBorder="1" applyAlignment="1">
      <alignment horizontal="center" vertical="center"/>
    </xf>
    <xf numFmtId="0" fontId="93" fillId="28" borderId="98" xfId="0" applyFont="1" applyFill="1" applyBorder="1" applyAlignment="1">
      <alignment horizontal="center" vertical="center"/>
    </xf>
    <xf numFmtId="0" fontId="93" fillId="28" borderId="118" xfId="0" applyFont="1" applyFill="1" applyBorder="1" applyAlignment="1">
      <alignment horizontal="center" vertical="center"/>
    </xf>
    <xf numFmtId="0" fontId="53" fillId="28" borderId="17" xfId="0" applyFont="1" applyFill="1" applyBorder="1" applyAlignment="1">
      <alignment horizontal="center" vertical="center"/>
    </xf>
    <xf numFmtId="0" fontId="93" fillId="29" borderId="0" xfId="0" applyFont="1" applyFill="1" applyAlignment="1">
      <alignment horizontal="center" vertical="center"/>
    </xf>
    <xf numFmtId="0" fontId="93" fillId="29" borderId="90" xfId="0" applyFont="1" applyFill="1" applyBorder="1" applyAlignment="1">
      <alignment horizontal="center" vertical="center"/>
    </xf>
    <xf numFmtId="0" fontId="93" fillId="28" borderId="93" xfId="0" applyFont="1" applyFill="1" applyBorder="1" applyAlignment="1">
      <alignment horizontal="center" vertical="center"/>
    </xf>
    <xf numFmtId="0" fontId="93" fillId="29" borderId="36" xfId="0" applyFont="1" applyFill="1" applyBorder="1" applyAlignment="1">
      <alignment horizontal="center" vertical="center"/>
    </xf>
    <xf numFmtId="0" fontId="93" fillId="29" borderId="99" xfId="0" applyFont="1" applyFill="1" applyBorder="1" applyAlignment="1">
      <alignment horizontal="center" vertical="center"/>
    </xf>
    <xf numFmtId="0" fontId="93" fillId="28" borderId="76" xfId="0" applyFont="1" applyFill="1" applyBorder="1" applyAlignment="1">
      <alignment horizontal="center" vertical="center"/>
    </xf>
    <xf numFmtId="0" fontId="93" fillId="29" borderId="86" xfId="0" applyFont="1" applyFill="1" applyBorder="1" applyAlignment="1">
      <alignment horizontal="center" vertical="center"/>
    </xf>
    <xf numFmtId="0" fontId="93" fillId="28" borderId="99" xfId="0" applyFont="1" applyFill="1" applyBorder="1" applyAlignment="1">
      <alignment horizontal="center" vertical="center"/>
    </xf>
    <xf numFmtId="16" fontId="93" fillId="28" borderId="99" xfId="0" quotePrefix="1" applyNumberFormat="1" applyFont="1" applyFill="1" applyBorder="1" applyAlignment="1">
      <alignment horizontal="center" vertical="center"/>
    </xf>
    <xf numFmtId="0" fontId="93" fillId="29" borderId="80" xfId="0" applyFont="1" applyFill="1" applyBorder="1" applyAlignment="1">
      <alignment horizontal="center" vertical="center"/>
    </xf>
    <xf numFmtId="0" fontId="53" fillId="28" borderId="3" xfId="0" applyFont="1" applyFill="1" applyBorder="1" applyAlignment="1">
      <alignment horizontal="center" vertical="center"/>
    </xf>
    <xf numFmtId="0" fontId="53" fillId="29" borderId="3" xfId="0" applyFont="1" applyFill="1" applyBorder="1" applyAlignment="1">
      <alignment horizontal="center" vertical="center"/>
    </xf>
    <xf numFmtId="0" fontId="53" fillId="28" borderId="50" xfId="0" applyFont="1" applyFill="1" applyBorder="1" applyAlignment="1">
      <alignment horizontal="center" vertical="center"/>
    </xf>
    <xf numFmtId="0" fontId="53" fillId="28" borderId="4" xfId="0" applyFont="1" applyFill="1" applyBorder="1" applyAlignment="1">
      <alignment horizontal="center" vertical="center"/>
    </xf>
    <xf numFmtId="0" fontId="93" fillId="28" borderId="78" xfId="0" applyFont="1" applyFill="1" applyBorder="1" applyAlignment="1">
      <alignment horizontal="center" vertical="center"/>
    </xf>
    <xf numFmtId="0" fontId="93" fillId="28" borderId="72" xfId="0" applyFont="1" applyFill="1" applyBorder="1" applyAlignment="1">
      <alignment horizontal="center" vertical="center"/>
    </xf>
    <xf numFmtId="0" fontId="93" fillId="28" borderId="50" xfId="0" applyFont="1" applyFill="1" applyBorder="1" applyAlignment="1">
      <alignment horizontal="center" vertical="center"/>
    </xf>
    <xf numFmtId="0" fontId="93" fillId="29" borderId="92" xfId="0" applyFont="1" applyFill="1" applyBorder="1" applyAlignment="1">
      <alignment horizontal="center" vertical="center"/>
    </xf>
    <xf numFmtId="0" fontId="93" fillId="30" borderId="48" xfId="0" applyFont="1" applyFill="1" applyBorder="1" applyAlignment="1">
      <alignment horizontal="center" vertical="center"/>
    </xf>
    <xf numFmtId="0" fontId="93" fillId="30" borderId="3" xfId="0" applyFont="1" applyFill="1" applyBorder="1" applyAlignment="1">
      <alignment horizontal="center" vertical="center"/>
    </xf>
    <xf numFmtId="0" fontId="93" fillId="30" borderId="36" xfId="0" applyFont="1" applyFill="1" applyBorder="1" applyAlignment="1">
      <alignment horizontal="center" vertical="center"/>
    </xf>
    <xf numFmtId="0" fontId="93" fillId="30" borderId="42" xfId="0" applyFont="1" applyFill="1" applyBorder="1" applyAlignment="1">
      <alignment horizontal="center" vertical="center"/>
    </xf>
    <xf numFmtId="0" fontId="93" fillId="30" borderId="50" xfId="0" applyFont="1" applyFill="1" applyBorder="1" applyAlignment="1">
      <alignment horizontal="center" vertical="center"/>
    </xf>
    <xf numFmtId="0" fontId="93" fillId="29" borderId="50" xfId="0" applyFont="1" applyFill="1" applyBorder="1" applyAlignment="1">
      <alignment horizontal="center" vertical="center"/>
    </xf>
    <xf numFmtId="0" fontId="93" fillId="29" borderId="42" xfId="0" applyFont="1" applyFill="1" applyBorder="1" applyAlignment="1">
      <alignment horizontal="center" vertical="center"/>
    </xf>
    <xf numFmtId="0" fontId="93" fillId="30" borderId="17" xfId="0" applyFont="1" applyFill="1" applyBorder="1" applyAlignment="1">
      <alignment horizontal="center" vertical="center"/>
    </xf>
    <xf numFmtId="0" fontId="93" fillId="30" borderId="0" xfId="0" applyFont="1" applyFill="1" applyAlignment="1">
      <alignment horizontal="center" vertical="center"/>
    </xf>
    <xf numFmtId="0" fontId="93" fillId="30" borderId="15" xfId="0" applyFont="1" applyFill="1" applyBorder="1" applyAlignment="1">
      <alignment horizontal="center" vertical="center"/>
    </xf>
    <xf numFmtId="49" fontId="85" fillId="2" borderId="45" xfId="1" applyNumberFormat="1" applyFont="1" applyFill="1" applyBorder="1" applyAlignment="1" applyProtection="1">
      <alignment horizontal="center" vertical="center"/>
      <protection locked="0"/>
    </xf>
    <xf numFmtId="49" fontId="85" fillId="2" borderId="4" xfId="1" applyNumberFormat="1" applyFont="1" applyFill="1" applyBorder="1" applyAlignment="1" applyProtection="1">
      <alignment horizontal="center" vertical="center"/>
      <protection locked="0"/>
    </xf>
    <xf numFmtId="49" fontId="85" fillId="2" borderId="32" xfId="1" applyNumberFormat="1" applyFont="1" applyFill="1" applyBorder="1" applyAlignment="1" applyProtection="1">
      <alignment horizontal="center" vertical="center"/>
      <protection locked="0"/>
    </xf>
    <xf numFmtId="49" fontId="85" fillId="2" borderId="83" xfId="1" applyNumberFormat="1" applyFont="1" applyFill="1" applyBorder="1" applyAlignment="1" applyProtection="1">
      <alignment horizontal="center" vertical="center"/>
      <protection locked="0"/>
    </xf>
    <xf numFmtId="49" fontId="85" fillId="25" borderId="46" xfId="1" applyNumberFormat="1" applyFont="1" applyFill="1" applyBorder="1" applyAlignment="1" applyProtection="1">
      <alignment horizontal="center" vertical="center"/>
      <protection locked="0"/>
    </xf>
    <xf numFmtId="49" fontId="85" fillId="2" borderId="87" xfId="1" applyNumberFormat="1" applyFont="1" applyFill="1" applyBorder="1" applyAlignment="1" applyProtection="1">
      <alignment horizontal="center" vertical="center"/>
      <protection locked="0"/>
    </xf>
    <xf numFmtId="49" fontId="85" fillId="2" borderId="46" xfId="1" applyNumberFormat="1" applyFont="1" applyFill="1" applyBorder="1" applyAlignment="1" applyProtection="1">
      <alignment horizontal="center" vertical="center"/>
      <protection locked="0"/>
    </xf>
    <xf numFmtId="49" fontId="66" fillId="0" borderId="48" xfId="1" applyNumberFormat="1" applyFont="1" applyBorder="1" applyAlignment="1" applyProtection="1">
      <alignment horizontal="center" vertical="center"/>
      <protection locked="0"/>
    </xf>
    <xf numFmtId="49" fontId="85" fillId="2" borderId="80" xfId="1" applyNumberFormat="1" applyFont="1" applyFill="1" applyBorder="1" applyAlignment="1" applyProtection="1">
      <alignment horizontal="center" vertical="center"/>
      <protection locked="0"/>
    </xf>
    <xf numFmtId="49" fontId="90" fillId="25" borderId="4" xfId="1" quotePrefix="1" applyNumberFormat="1" applyFont="1" applyFill="1" applyBorder="1" applyAlignment="1" applyProtection="1">
      <alignment horizontal="center" vertical="center"/>
      <protection locked="0"/>
    </xf>
    <xf numFmtId="49" fontId="66" fillId="0" borderId="42" xfId="1" applyNumberFormat="1" applyFont="1" applyBorder="1" applyAlignment="1" applyProtection="1">
      <alignment horizontal="center" vertical="center"/>
      <protection locked="0"/>
    </xf>
    <xf numFmtId="49" fontId="85" fillId="2" borderId="32" xfId="1" quotePrefix="1" applyNumberFormat="1" applyFont="1" applyFill="1" applyBorder="1" applyAlignment="1" applyProtection="1">
      <alignment horizontal="center" vertical="center"/>
      <protection locked="0"/>
    </xf>
    <xf numFmtId="49" fontId="80" fillId="2" borderId="99" xfId="1" applyNumberFormat="1" applyFont="1" applyFill="1" applyBorder="1" applyAlignment="1" applyProtection="1">
      <alignment horizontal="center" vertical="center"/>
      <protection locked="0"/>
    </xf>
    <xf numFmtId="49" fontId="66" fillId="27" borderId="106" xfId="1" applyNumberFormat="1" applyFont="1" applyFill="1" applyBorder="1" applyAlignment="1" applyProtection="1">
      <alignment horizontal="center" vertical="center"/>
      <protection locked="0"/>
    </xf>
    <xf numFmtId="49" fontId="66" fillId="32" borderId="151" xfId="1" applyNumberFormat="1" applyFont="1" applyFill="1" applyBorder="1" applyAlignment="1" applyProtection="1">
      <alignment horizontal="center" vertical="center"/>
      <protection locked="0"/>
    </xf>
    <xf numFmtId="0" fontId="85" fillId="2" borderId="56" xfId="0" applyFont="1" applyFill="1" applyBorder="1" applyAlignment="1">
      <alignment horizontal="center" vertical="center"/>
    </xf>
    <xf numFmtId="49" fontId="66" fillId="27" borderId="42" xfId="1" applyNumberFormat="1" applyFont="1" applyFill="1" applyBorder="1" applyAlignment="1" applyProtection="1">
      <alignment horizontal="center" vertical="center"/>
      <protection locked="0"/>
    </xf>
    <xf numFmtId="49" fontId="66" fillId="31" borderId="71" xfId="1" applyNumberFormat="1" applyFont="1" applyFill="1" applyBorder="1" applyAlignment="1" applyProtection="1">
      <alignment horizontal="center" vertical="center"/>
      <protection locked="0"/>
    </xf>
    <xf numFmtId="49" fontId="66" fillId="31" borderId="3" xfId="1" applyNumberFormat="1" applyFont="1" applyFill="1" applyBorder="1" applyAlignment="1" applyProtection="1">
      <alignment horizontal="center" vertical="center"/>
      <protection locked="0"/>
    </xf>
    <xf numFmtId="20" fontId="66" fillId="31" borderId="106" xfId="0" applyNumberFormat="1" applyFont="1" applyFill="1" applyBorder="1" applyAlignment="1">
      <alignment horizontal="center" vertical="center"/>
    </xf>
    <xf numFmtId="49" fontId="57" fillId="2" borderId="45" xfId="1" applyNumberFormat="1" applyFont="1" applyFill="1" applyBorder="1" applyAlignment="1" applyProtection="1">
      <alignment horizontal="center" vertical="center"/>
      <protection locked="0"/>
    </xf>
    <xf numFmtId="49" fontId="90" fillId="2" borderId="32" xfId="1" applyNumberFormat="1" applyFont="1" applyFill="1" applyBorder="1" applyAlignment="1" applyProtection="1">
      <alignment horizontal="center" vertical="center"/>
      <protection locked="0"/>
    </xf>
    <xf numFmtId="49" fontId="66" fillId="27" borderId="3" xfId="1" applyNumberFormat="1" applyFont="1" applyFill="1" applyBorder="1" applyAlignment="1" applyProtection="1">
      <alignment horizontal="center" vertical="center"/>
      <protection locked="0"/>
    </xf>
    <xf numFmtId="49" fontId="66" fillId="0" borderId="106" xfId="1" applyNumberFormat="1" applyFont="1" applyBorder="1" applyAlignment="1" applyProtection="1">
      <alignment horizontal="center" vertical="center"/>
      <protection locked="0"/>
    </xf>
    <xf numFmtId="49" fontId="51" fillId="2" borderId="45" xfId="1" applyNumberFormat="1" applyFont="1" applyFill="1" applyBorder="1" applyAlignment="1" applyProtection="1">
      <alignment horizontal="center" vertical="center"/>
      <protection locked="0"/>
    </xf>
    <xf numFmtId="49" fontId="66" fillId="0" borderId="151" xfId="1" applyNumberFormat="1" applyFont="1" applyBorder="1" applyAlignment="1" applyProtection="1">
      <alignment horizontal="center" vertical="center"/>
      <protection locked="0"/>
    </xf>
    <xf numFmtId="49" fontId="66" fillId="25" borderId="151" xfId="1" applyNumberFormat="1" applyFont="1" applyFill="1" applyBorder="1" applyAlignment="1" applyProtection="1">
      <alignment horizontal="center" vertical="center"/>
      <protection locked="0"/>
    </xf>
    <xf numFmtId="49" fontId="57" fillId="2" borderId="4" xfId="1" applyNumberFormat="1" applyFont="1" applyFill="1" applyBorder="1" applyAlignment="1" applyProtection="1">
      <alignment horizontal="center" vertical="center"/>
      <protection locked="0"/>
    </xf>
    <xf numFmtId="49" fontId="62" fillId="0" borderId="99" xfId="1" applyNumberFormat="1" applyFont="1" applyBorder="1" applyAlignment="1" applyProtection="1">
      <alignment horizontal="center" vertical="center"/>
      <protection locked="0"/>
    </xf>
    <xf numFmtId="49" fontId="66" fillId="26" borderId="3" xfId="1" applyNumberFormat="1" applyFont="1" applyFill="1" applyBorder="1" applyAlignment="1" applyProtection="1">
      <alignment horizontal="center" vertical="center"/>
      <protection locked="0"/>
    </xf>
    <xf numFmtId="0" fontId="66" fillId="0" borderId="74" xfId="0" applyFont="1" applyBorder="1" applyAlignment="1">
      <alignment horizontal="center" vertical="center"/>
    </xf>
    <xf numFmtId="0" fontId="66" fillId="26" borderId="36" xfId="0" applyFont="1" applyFill="1" applyBorder="1" applyAlignment="1">
      <alignment horizontal="center" vertical="center"/>
    </xf>
    <xf numFmtId="49" fontId="57" fillId="25" borderId="45" xfId="1" applyNumberFormat="1" applyFont="1" applyFill="1" applyBorder="1" applyAlignment="1" applyProtection="1">
      <alignment horizontal="center" vertical="center"/>
      <protection locked="0"/>
    </xf>
    <xf numFmtId="49" fontId="57" fillId="0" borderId="45" xfId="1" applyNumberFormat="1" applyFont="1" applyBorder="1" applyAlignment="1" applyProtection="1">
      <alignment horizontal="center" vertical="center"/>
      <protection locked="0"/>
    </xf>
    <xf numFmtId="0" fontId="66" fillId="0" borderId="36" xfId="0" applyFont="1" applyBorder="1" applyAlignment="1">
      <alignment horizontal="center" vertical="center"/>
    </xf>
    <xf numFmtId="0" fontId="90" fillId="27" borderId="36" xfId="0" applyFont="1" applyFill="1" applyBorder="1" applyAlignment="1">
      <alignment horizontal="center" vertical="center"/>
    </xf>
    <xf numFmtId="49" fontId="66" fillId="0" borderId="45" xfId="1" applyNumberFormat="1" applyFont="1" applyBorder="1" applyAlignment="1" applyProtection="1">
      <alignment horizontal="center" vertical="center"/>
      <protection locked="0"/>
    </xf>
    <xf numFmtId="16" fontId="66" fillId="2" borderId="36" xfId="0" applyNumberFormat="1" applyFont="1" applyFill="1" applyBorder="1" applyAlignment="1">
      <alignment horizontal="center" vertical="center"/>
    </xf>
    <xf numFmtId="49" fontId="66" fillId="21" borderId="17" xfId="1" applyNumberFormat="1" applyFont="1" applyFill="1" applyBorder="1" applyAlignment="1" applyProtection="1">
      <alignment horizontal="center" vertical="center"/>
      <protection locked="0"/>
    </xf>
    <xf numFmtId="49" fontId="66" fillId="3" borderId="42" xfId="1" applyNumberFormat="1" applyFont="1" applyFill="1" applyBorder="1" applyAlignment="1" applyProtection="1">
      <alignment horizontal="center" vertical="center"/>
      <protection locked="0"/>
    </xf>
    <xf numFmtId="49" fontId="66" fillId="3" borderId="17" xfId="1" applyNumberFormat="1" applyFont="1" applyFill="1" applyBorder="1" applyAlignment="1" applyProtection="1">
      <alignment horizontal="center" vertical="center"/>
      <protection locked="0"/>
    </xf>
    <xf numFmtId="49" fontId="66" fillId="0" borderId="32" xfId="1" applyNumberFormat="1" applyFont="1" applyBorder="1" applyAlignment="1" applyProtection="1">
      <alignment horizontal="center" vertical="center"/>
      <protection locked="0"/>
    </xf>
    <xf numFmtId="49" fontId="66" fillId="0" borderId="71" xfId="1" applyNumberFormat="1" applyFont="1" applyBorder="1" applyAlignment="1" applyProtection="1">
      <alignment horizontal="center" vertical="center"/>
      <protection locked="0"/>
    </xf>
    <xf numFmtId="49" fontId="66" fillId="31" borderId="17" xfId="1" applyNumberFormat="1" applyFont="1" applyFill="1" applyBorder="1" applyAlignment="1" applyProtection="1">
      <alignment horizontal="center" vertical="center"/>
      <protection locked="0"/>
    </xf>
    <xf numFmtId="49" fontId="66" fillId="27" borderId="151" xfId="1" applyNumberFormat="1" applyFont="1" applyFill="1" applyBorder="1" applyAlignment="1" applyProtection="1">
      <alignment horizontal="center" vertical="center"/>
      <protection locked="0"/>
    </xf>
    <xf numFmtId="0" fontId="66" fillId="0" borderId="50" xfId="0" applyFont="1" applyBorder="1" applyAlignment="1">
      <alignment horizontal="center" vertical="center"/>
    </xf>
    <xf numFmtId="49" fontId="66" fillId="27" borderId="0" xfId="1" applyNumberFormat="1" applyFont="1" applyFill="1" applyAlignment="1" applyProtection="1">
      <alignment horizontal="center" vertical="center"/>
      <protection locked="0"/>
    </xf>
    <xf numFmtId="0" fontId="66" fillId="0" borderId="86" xfId="0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/>
    </xf>
    <xf numFmtId="49" fontId="66" fillId="0" borderId="3" xfId="1" applyNumberFormat="1" applyFont="1" applyBorder="1" applyAlignment="1" applyProtection="1">
      <alignment horizontal="center" vertical="center"/>
      <protection locked="0"/>
    </xf>
    <xf numFmtId="49" fontId="66" fillId="13" borderId="3" xfId="1" applyNumberFormat="1" applyFont="1" applyFill="1" applyBorder="1" applyAlignment="1" applyProtection="1">
      <alignment horizontal="center" vertical="center"/>
      <protection locked="0"/>
    </xf>
    <xf numFmtId="49" fontId="66" fillId="27" borderId="15" xfId="1" applyNumberFormat="1" applyFont="1" applyFill="1" applyBorder="1" applyAlignment="1" applyProtection="1">
      <alignment horizontal="center" vertical="center"/>
      <protection locked="0"/>
    </xf>
    <xf numFmtId="49" fontId="66" fillId="27" borderId="17" xfId="1" applyNumberFormat="1" applyFont="1" applyFill="1" applyBorder="1" applyAlignment="1" applyProtection="1">
      <alignment horizontal="center" vertical="center"/>
      <protection locked="0"/>
    </xf>
    <xf numFmtId="49" fontId="66" fillId="0" borderId="86" xfId="1" applyNumberFormat="1" applyFont="1" applyBorder="1" applyAlignment="1" applyProtection="1">
      <alignment horizontal="center" vertical="center"/>
      <protection locked="0"/>
    </xf>
    <xf numFmtId="49" fontId="51" fillId="2" borderId="4" xfId="1" applyNumberFormat="1" applyFont="1" applyFill="1" applyBorder="1" applyAlignment="1" applyProtection="1">
      <alignment horizontal="center" vertical="center"/>
      <protection locked="0"/>
    </xf>
    <xf numFmtId="49" fontId="90" fillId="2" borderId="45" xfId="1" applyNumberFormat="1" applyFont="1" applyFill="1" applyBorder="1" applyAlignment="1" applyProtection="1">
      <alignment horizontal="center" vertical="center"/>
      <protection locked="0"/>
    </xf>
    <xf numFmtId="49" fontId="66" fillId="0" borderId="17" xfId="1" applyNumberFormat="1" applyFont="1" applyBorder="1" applyAlignment="1" applyProtection="1">
      <alignment horizontal="center" vertical="center"/>
      <protection locked="0"/>
    </xf>
    <xf numFmtId="0" fontId="90" fillId="0" borderId="36" xfId="0" applyFont="1" applyBorder="1" applyAlignment="1">
      <alignment horizontal="center" vertical="center"/>
    </xf>
    <xf numFmtId="49" fontId="66" fillId="32" borderId="71" xfId="1" applyNumberFormat="1" applyFont="1" applyFill="1" applyBorder="1" applyAlignment="1" applyProtection="1">
      <alignment horizontal="center" vertical="center"/>
      <protection locked="0"/>
    </xf>
    <xf numFmtId="49" fontId="66" fillId="26" borderId="151" xfId="1" applyNumberFormat="1" applyFont="1" applyFill="1" applyBorder="1" applyAlignment="1" applyProtection="1">
      <alignment horizontal="center" vertical="center"/>
      <protection locked="0"/>
    </xf>
    <xf numFmtId="0" fontId="8" fillId="3" borderId="136" xfId="1" applyFont="1" applyFill="1" applyBorder="1" applyAlignment="1">
      <alignment horizontal="center" vertical="center"/>
    </xf>
    <xf numFmtId="49" fontId="66" fillId="33" borderId="3" xfId="1" applyNumberFormat="1" applyFont="1" applyFill="1" applyBorder="1" applyAlignment="1" applyProtection="1">
      <alignment horizontal="center" vertical="center"/>
      <protection locked="0"/>
    </xf>
    <xf numFmtId="49" fontId="57" fillId="2" borderId="71" xfId="1" applyNumberFormat="1" applyFont="1" applyFill="1" applyBorder="1" applyAlignment="1" applyProtection="1">
      <alignment horizontal="center" vertical="center"/>
      <protection locked="0"/>
    </xf>
    <xf numFmtId="0" fontId="98" fillId="3" borderId="69" xfId="0" applyFont="1" applyFill="1" applyBorder="1" applyAlignment="1">
      <alignment horizontal="center" vertical="center" wrapText="1"/>
    </xf>
    <xf numFmtId="49" fontId="99" fillId="25" borderId="106" xfId="1" applyNumberFormat="1" applyFont="1" applyFill="1" applyBorder="1" applyAlignment="1" applyProtection="1">
      <alignment horizontal="center" vertical="center"/>
      <protection locked="0"/>
    </xf>
    <xf numFmtId="49" fontId="99" fillId="25" borderId="42" xfId="1" applyNumberFormat="1" applyFont="1" applyFill="1" applyBorder="1" applyAlignment="1" applyProtection="1">
      <alignment horizontal="center" vertical="center"/>
      <protection locked="0"/>
    </xf>
    <xf numFmtId="49" fontId="66" fillId="33" borderId="78" xfId="1" applyNumberFormat="1" applyFont="1" applyFill="1" applyBorder="1" applyAlignment="1" applyProtection="1">
      <alignment horizontal="center" vertical="center"/>
      <protection locked="0"/>
    </xf>
    <xf numFmtId="49" fontId="89" fillId="25" borderId="4" xfId="1" applyNumberFormat="1" applyFont="1" applyFill="1" applyBorder="1" applyAlignment="1" applyProtection="1">
      <alignment horizontal="center" vertical="center"/>
      <protection locked="0"/>
    </xf>
    <xf numFmtId="49" fontId="85" fillId="25" borderId="0" xfId="1" applyNumberFormat="1" applyFont="1" applyFill="1" applyAlignment="1" applyProtection="1">
      <alignment horizontal="center" vertical="center"/>
      <protection locked="0"/>
    </xf>
    <xf numFmtId="0" fontId="10" fillId="34" borderId="0" xfId="0" applyFont="1" applyFill="1"/>
    <xf numFmtId="0" fontId="93" fillId="0" borderId="0" xfId="0" applyFont="1" applyAlignment="1">
      <alignment horizontal="center" vertical="center"/>
    </xf>
    <xf numFmtId="49" fontId="85" fillId="2" borderId="118" xfId="1" applyNumberFormat="1" applyFont="1" applyFill="1" applyBorder="1" applyAlignment="1" applyProtection="1">
      <alignment horizontal="center" vertical="center"/>
      <protection locked="0"/>
    </xf>
    <xf numFmtId="20" fontId="85" fillId="0" borderId="111" xfId="0" applyNumberFormat="1" applyFont="1" applyBorder="1" applyAlignment="1">
      <alignment horizontal="center" vertical="center"/>
    </xf>
    <xf numFmtId="49" fontId="66" fillId="0" borderId="36" xfId="1" applyNumberFormat="1" applyFont="1" applyBorder="1" applyAlignment="1" applyProtection="1">
      <alignment horizontal="center" vertical="center"/>
      <protection locked="0"/>
    </xf>
    <xf numFmtId="49" fontId="66" fillId="0" borderId="98" xfId="1" applyNumberFormat="1" applyFont="1" applyBorder="1" applyAlignment="1" applyProtection="1">
      <alignment horizontal="center" vertical="center"/>
      <protection locked="0"/>
    </xf>
    <xf numFmtId="0" fontId="87" fillId="2" borderId="65" xfId="0" applyFont="1" applyFill="1" applyBorder="1" applyAlignment="1">
      <alignment horizontal="center" vertical="center" wrapText="1"/>
    </xf>
    <xf numFmtId="0" fontId="87" fillId="2" borderId="66" xfId="0" applyFont="1" applyFill="1" applyBorder="1" applyAlignment="1">
      <alignment horizontal="center" vertical="center" wrapText="1"/>
    </xf>
    <xf numFmtId="0" fontId="93" fillId="2" borderId="17" xfId="0" applyFont="1" applyFill="1" applyBorder="1" applyAlignment="1">
      <alignment horizontal="center" vertical="center"/>
    </xf>
    <xf numFmtId="0" fontId="93" fillId="2" borderId="15" xfId="0" applyFont="1" applyFill="1" applyBorder="1" applyAlignment="1">
      <alignment horizontal="center" vertical="center"/>
    </xf>
    <xf numFmtId="0" fontId="93" fillId="2" borderId="102" xfId="0" applyFont="1" applyFill="1" applyBorder="1" applyAlignment="1">
      <alignment horizontal="center" vertical="center"/>
    </xf>
    <xf numFmtId="0" fontId="93" fillId="2" borderId="97" xfId="0" applyFont="1" applyFill="1" applyBorder="1" applyAlignment="1">
      <alignment horizontal="center" vertical="center"/>
    </xf>
    <xf numFmtId="0" fontId="85" fillId="2" borderId="101" xfId="0" applyFont="1" applyFill="1" applyBorder="1" applyAlignment="1">
      <alignment horizontal="center" vertical="center"/>
    </xf>
    <xf numFmtId="0" fontId="93" fillId="2" borderId="101" xfId="0" applyFont="1" applyFill="1" applyBorder="1" applyAlignment="1">
      <alignment horizontal="center" vertical="center"/>
    </xf>
    <xf numFmtId="0" fontId="93" fillId="2" borderId="60" xfId="0" applyFont="1" applyFill="1" applyBorder="1" applyAlignment="1">
      <alignment horizontal="center" vertical="center"/>
    </xf>
    <xf numFmtId="0" fontId="85" fillId="2" borderId="46" xfId="0" applyFont="1" applyFill="1" applyBorder="1" applyAlignment="1">
      <alignment horizontal="center" vertical="center"/>
    </xf>
    <xf numFmtId="0" fontId="85" fillId="2" borderId="3" xfId="0" applyFont="1" applyFill="1" applyBorder="1" applyAlignment="1">
      <alignment horizontal="center" vertical="center"/>
    </xf>
    <xf numFmtId="0" fontId="85" fillId="2" borderId="74" xfId="0" applyFont="1" applyFill="1" applyBorder="1" applyAlignment="1">
      <alignment horizontal="center" vertical="center"/>
    </xf>
    <xf numFmtId="0" fontId="93" fillId="2" borderId="171" xfId="0" applyFont="1" applyFill="1" applyBorder="1" applyAlignment="1">
      <alignment horizontal="center" vertical="center"/>
    </xf>
    <xf numFmtId="0" fontId="93" fillId="2" borderId="46" xfId="0" applyFont="1" applyFill="1" applyBorder="1" applyAlignment="1">
      <alignment horizontal="center" vertical="center"/>
    </xf>
    <xf numFmtId="0" fontId="85" fillId="2" borderId="79" xfId="0" applyFont="1" applyFill="1" applyBorder="1" applyAlignment="1">
      <alignment horizontal="center" vertical="center"/>
    </xf>
    <xf numFmtId="0" fontId="85" fillId="2" borderId="97" xfId="0" applyFont="1" applyFill="1" applyBorder="1" applyAlignment="1">
      <alignment horizontal="center" vertical="center"/>
    </xf>
    <xf numFmtId="0" fontId="85" fillId="2" borderId="102" xfId="0" applyFont="1" applyFill="1" applyBorder="1" applyAlignment="1">
      <alignment horizontal="center" vertical="center"/>
    </xf>
    <xf numFmtId="0" fontId="66" fillId="3" borderId="157" xfId="0" applyFont="1" applyFill="1" applyBorder="1" applyAlignment="1">
      <alignment horizontal="center" vertical="center"/>
    </xf>
    <xf numFmtId="0" fontId="93" fillId="3" borderId="17" xfId="0" applyFont="1" applyFill="1" applyBorder="1" applyAlignment="1">
      <alignment horizontal="center" vertical="center"/>
    </xf>
    <xf numFmtId="0" fontId="93" fillId="3" borderId="15" xfId="0" applyFont="1" applyFill="1" applyBorder="1" applyAlignment="1">
      <alignment horizontal="center" vertical="center"/>
    </xf>
    <xf numFmtId="0" fontId="53" fillId="3" borderId="15" xfId="0" applyFont="1" applyFill="1" applyBorder="1" applyAlignment="1">
      <alignment horizontal="center" vertical="center"/>
    </xf>
    <xf numFmtId="0" fontId="93" fillId="2" borderId="42" xfId="0" applyFont="1" applyFill="1" applyBorder="1" applyAlignment="1">
      <alignment horizontal="center" vertical="center"/>
    </xf>
    <xf numFmtId="0" fontId="53" fillId="3" borderId="17" xfId="0" applyFont="1" applyFill="1" applyBorder="1" applyAlignment="1">
      <alignment horizontal="center" vertical="center"/>
    </xf>
    <xf numFmtId="0" fontId="53" fillId="2" borderId="17" xfId="0" applyFont="1" applyFill="1" applyBorder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49" fontId="66" fillId="35" borderId="146" xfId="1" applyNumberFormat="1" applyFont="1" applyFill="1" applyBorder="1" applyAlignment="1" applyProtection="1">
      <alignment horizontal="center" vertical="center"/>
      <protection locked="0"/>
    </xf>
    <xf numFmtId="49" fontId="66" fillId="35" borderId="32" xfId="1" applyNumberFormat="1" applyFont="1" applyFill="1" applyBorder="1" applyAlignment="1" applyProtection="1">
      <alignment horizontal="center" vertical="center"/>
      <protection locked="0"/>
    </xf>
    <xf numFmtId="49" fontId="66" fillId="35" borderId="4" xfId="1" applyNumberFormat="1" applyFont="1" applyFill="1" applyBorder="1" applyAlignment="1" applyProtection="1">
      <alignment horizontal="center" vertical="center"/>
      <protection locked="0"/>
    </xf>
    <xf numFmtId="49" fontId="66" fillId="35" borderId="45" xfId="1" applyNumberFormat="1" applyFont="1" applyFill="1" applyBorder="1" applyAlignment="1" applyProtection="1">
      <alignment horizontal="center" vertical="center"/>
      <protection locked="0"/>
    </xf>
    <xf numFmtId="49" fontId="90" fillId="35" borderId="4" xfId="1" applyNumberFormat="1" applyFont="1" applyFill="1" applyBorder="1" applyAlignment="1" applyProtection="1">
      <alignment horizontal="center" vertical="center"/>
      <protection locked="0"/>
    </xf>
    <xf numFmtId="49" fontId="66" fillId="35" borderId="1" xfId="1" applyNumberFormat="1" applyFont="1" applyFill="1" applyBorder="1" applyAlignment="1" applyProtection="1">
      <alignment horizontal="center" vertical="center"/>
      <protection locked="0"/>
    </xf>
    <xf numFmtId="49" fontId="66" fillId="35" borderId="17" xfId="1" applyNumberFormat="1" applyFont="1" applyFill="1" applyBorder="1" applyAlignment="1" applyProtection="1">
      <alignment horizontal="center" vertical="center"/>
      <protection locked="0"/>
    </xf>
    <xf numFmtId="49" fontId="85" fillId="35" borderId="45" xfId="1" applyNumberFormat="1" applyFont="1" applyFill="1" applyBorder="1" applyAlignment="1" applyProtection="1">
      <alignment horizontal="center" vertical="center"/>
      <protection locked="0"/>
    </xf>
    <xf numFmtId="49" fontId="99" fillId="35" borderId="4" xfId="1" applyNumberFormat="1" applyFont="1" applyFill="1" applyBorder="1" applyAlignment="1" applyProtection="1">
      <alignment horizontal="center" vertical="center"/>
      <protection locked="0"/>
    </xf>
    <xf numFmtId="0" fontId="100" fillId="3" borderId="0" xfId="0" applyFont="1" applyFill="1"/>
    <xf numFmtId="0" fontId="93" fillId="36" borderId="15" xfId="0" applyFont="1" applyFill="1" applyBorder="1" applyAlignment="1">
      <alignment horizontal="center" vertical="center"/>
    </xf>
    <xf numFmtId="0" fontId="66" fillId="36" borderId="17" xfId="0" applyFont="1" applyFill="1" applyBorder="1" applyAlignment="1">
      <alignment horizontal="center" vertical="center"/>
    </xf>
    <xf numFmtId="0" fontId="66" fillId="36" borderId="42" xfId="0" applyFont="1" applyFill="1" applyBorder="1" applyAlignment="1">
      <alignment horizontal="center" vertical="center"/>
    </xf>
    <xf numFmtId="0" fontId="93" fillId="36" borderId="0" xfId="0" applyFont="1" applyFill="1" applyAlignment="1">
      <alignment horizontal="center" vertical="center"/>
    </xf>
    <xf numFmtId="0" fontId="66" fillId="36" borderId="15" xfId="0" applyFont="1" applyFill="1" applyBorder="1" applyAlignment="1">
      <alignment horizontal="center" vertical="center"/>
    </xf>
    <xf numFmtId="0" fontId="93" fillId="36" borderId="3" xfId="0" applyFont="1" applyFill="1" applyBorder="1" applyAlignment="1">
      <alignment horizontal="center" vertical="center"/>
    </xf>
    <xf numFmtId="0" fontId="93" fillId="36" borderId="42" xfId="0" applyFont="1" applyFill="1" applyBorder="1" applyAlignment="1">
      <alignment horizontal="center" vertical="center"/>
    </xf>
    <xf numFmtId="0" fontId="66" fillId="36" borderId="0" xfId="0" applyFont="1" applyFill="1" applyAlignment="1">
      <alignment horizontal="center" vertical="center"/>
    </xf>
    <xf numFmtId="0" fontId="66" fillId="36" borderId="3" xfId="0" applyFont="1" applyFill="1" applyBorder="1" applyAlignment="1">
      <alignment horizontal="center" vertical="center"/>
    </xf>
    <xf numFmtId="0" fontId="85" fillId="36" borderId="3" xfId="0" applyFont="1" applyFill="1" applyBorder="1" applyAlignment="1">
      <alignment horizontal="center" vertical="center"/>
    </xf>
    <xf numFmtId="0" fontId="93" fillId="36" borderId="17" xfId="0" applyFont="1" applyFill="1" applyBorder="1" applyAlignment="1">
      <alignment horizontal="center" vertical="center"/>
    </xf>
    <xf numFmtId="0" fontId="93" fillId="36" borderId="45" xfId="0" applyFont="1" applyFill="1" applyBorder="1" applyAlignment="1">
      <alignment horizontal="center" vertical="center"/>
    </xf>
    <xf numFmtId="0" fontId="85" fillId="36" borderId="4" xfId="0" applyFont="1" applyFill="1" applyBorder="1" applyAlignment="1">
      <alignment horizontal="center" vertical="center"/>
    </xf>
    <xf numFmtId="0" fontId="85" fillId="36" borderId="32" xfId="0" applyFont="1" applyFill="1" applyBorder="1" applyAlignment="1">
      <alignment horizontal="center" vertical="center"/>
    </xf>
    <xf numFmtId="0" fontId="93" fillId="36" borderId="1" xfId="0" applyFont="1" applyFill="1" applyBorder="1" applyAlignment="1">
      <alignment horizontal="center" vertical="center"/>
    </xf>
    <xf numFmtId="0" fontId="85" fillId="36" borderId="45" xfId="0" applyFont="1" applyFill="1" applyBorder="1" applyAlignment="1">
      <alignment horizontal="center" vertical="center"/>
    </xf>
    <xf numFmtId="0" fontId="93" fillId="36" borderId="4" xfId="0" applyFont="1" applyFill="1" applyBorder="1" applyAlignment="1">
      <alignment horizontal="center" vertical="center"/>
    </xf>
    <xf numFmtId="0" fontId="93" fillId="36" borderId="32" xfId="0" applyFont="1" applyFill="1" applyBorder="1" applyAlignment="1">
      <alignment horizontal="center" vertical="center"/>
    </xf>
    <xf numFmtId="0" fontId="66" fillId="36" borderId="1" xfId="0" applyFont="1" applyFill="1" applyBorder="1" applyAlignment="1">
      <alignment horizontal="center" vertical="center"/>
    </xf>
    <xf numFmtId="0" fontId="66" fillId="36" borderId="4" xfId="0" applyFont="1" applyFill="1" applyBorder="1" applyAlignment="1">
      <alignment horizontal="center" vertical="center"/>
    </xf>
    <xf numFmtId="0" fontId="93" fillId="2" borderId="109" xfId="0" applyFont="1" applyFill="1" applyBorder="1" applyAlignment="1">
      <alignment horizontal="center" vertical="center"/>
    </xf>
    <xf numFmtId="0" fontId="93" fillId="2" borderId="48" xfId="0" applyFont="1" applyFill="1" applyBorder="1" applyAlignment="1">
      <alignment horizontal="center" vertical="center"/>
    </xf>
    <xf numFmtId="0" fontId="101" fillId="0" borderId="0" xfId="0" applyFont="1" applyAlignment="1">
      <alignment vertical="center"/>
    </xf>
    <xf numFmtId="0" fontId="51" fillId="25" borderId="17" xfId="0" applyFont="1" applyFill="1" applyBorder="1" applyAlignment="1">
      <alignment horizontal="center" vertical="center"/>
    </xf>
    <xf numFmtId="0" fontId="66" fillId="25" borderId="45" xfId="0" applyFont="1" applyFill="1" applyBorder="1" applyAlignment="1">
      <alignment horizontal="center" vertical="center"/>
    </xf>
    <xf numFmtId="0" fontId="93" fillId="2" borderId="45" xfId="0" applyFont="1" applyFill="1" applyBorder="1" applyAlignment="1">
      <alignment horizontal="center" vertical="center"/>
    </xf>
    <xf numFmtId="0" fontId="66" fillId="2" borderId="157" xfId="0" applyFont="1" applyFill="1" applyBorder="1" applyAlignment="1">
      <alignment horizontal="center" vertical="center"/>
    </xf>
    <xf numFmtId="0" fontId="93" fillId="37" borderId="3" xfId="0" applyFont="1" applyFill="1" applyBorder="1" applyAlignment="1">
      <alignment horizontal="center" vertical="center"/>
    </xf>
    <xf numFmtId="0" fontId="93" fillId="37" borderId="17" xfId="0" applyFont="1" applyFill="1" applyBorder="1" applyAlignment="1">
      <alignment horizontal="center" vertical="center"/>
    </xf>
    <xf numFmtId="49" fontId="90" fillId="2" borderId="17" xfId="1" applyNumberFormat="1" applyFont="1" applyFill="1" applyBorder="1" applyAlignment="1" applyProtection="1">
      <alignment horizontal="center" vertical="center"/>
      <protection locked="0"/>
    </xf>
    <xf numFmtId="49" fontId="85" fillId="2" borderId="42" xfId="1" applyNumberFormat="1" applyFont="1" applyFill="1" applyBorder="1" applyAlignment="1" applyProtection="1">
      <alignment horizontal="center" vertical="center"/>
      <protection locked="0"/>
    </xf>
    <xf numFmtId="49" fontId="90" fillId="2" borderId="42" xfId="1" applyNumberFormat="1" applyFont="1" applyFill="1" applyBorder="1" applyAlignment="1" applyProtection="1">
      <alignment horizontal="center" vertical="center"/>
      <protection locked="0"/>
    </xf>
    <xf numFmtId="0" fontId="13" fillId="33" borderId="52" xfId="0" applyFont="1" applyFill="1" applyBorder="1" applyAlignment="1">
      <alignment horizontal="center" vertical="center"/>
    </xf>
    <xf numFmtId="0" fontId="66" fillId="38" borderId="3" xfId="0" applyFont="1" applyFill="1" applyBorder="1" applyAlignment="1">
      <alignment horizontal="center" vertical="center"/>
    </xf>
    <xf numFmtId="0" fontId="93" fillId="38" borderId="88" xfId="0" applyFont="1" applyFill="1" applyBorder="1" applyAlignment="1">
      <alignment horizontal="center" vertical="center"/>
    </xf>
    <xf numFmtId="0" fontId="93" fillId="2" borderId="98" xfId="0" applyFont="1" applyFill="1" applyBorder="1" applyAlignment="1">
      <alignment horizontal="center" vertical="center"/>
    </xf>
    <xf numFmtId="0" fontId="93" fillId="33" borderId="112" xfId="0" applyFont="1" applyFill="1" applyBorder="1" applyAlignment="1">
      <alignment horizontal="center" vertical="center"/>
    </xf>
    <xf numFmtId="0" fontId="93" fillId="2" borderId="4" xfId="0" applyFont="1" applyFill="1" applyBorder="1" applyAlignment="1">
      <alignment horizontal="center" vertical="center"/>
    </xf>
    <xf numFmtId="0" fontId="93" fillId="2" borderId="88" xfId="0" applyFont="1" applyFill="1" applyBorder="1" applyAlignment="1">
      <alignment horizontal="center" vertical="center"/>
    </xf>
    <xf numFmtId="0" fontId="93" fillId="2" borderId="32" xfId="0" applyFont="1" applyFill="1" applyBorder="1" applyAlignment="1">
      <alignment horizontal="center" vertical="center"/>
    </xf>
    <xf numFmtId="0" fontId="93" fillId="2" borderId="36" xfId="0" applyFont="1" applyFill="1" applyBorder="1" applyAlignment="1">
      <alignment horizontal="center" vertical="center"/>
    </xf>
    <xf numFmtId="0" fontId="67" fillId="0" borderId="1" xfId="9" applyFont="1" applyBorder="1" applyAlignment="1">
      <alignment horizontal="center" vertical="top" wrapText="1"/>
    </xf>
    <xf numFmtId="164" fontId="9" fillId="2" borderId="124" xfId="1" applyNumberFormat="1" applyFont="1" applyFill="1" applyBorder="1" applyAlignment="1">
      <alignment horizontal="center"/>
    </xf>
    <xf numFmtId="164" fontId="9" fillId="2" borderId="67" xfId="1" applyNumberFormat="1" applyFont="1" applyFill="1" applyBorder="1" applyAlignment="1">
      <alignment horizontal="center"/>
    </xf>
    <xf numFmtId="164" fontId="9" fillId="2" borderId="128" xfId="1" applyNumberFormat="1" applyFont="1" applyFill="1" applyBorder="1" applyAlignment="1">
      <alignment horizontal="center"/>
    </xf>
    <xf numFmtId="49" fontId="37" fillId="10" borderId="21" xfId="1" applyNumberFormat="1" applyFont="1" applyFill="1" applyBorder="1" applyAlignment="1">
      <alignment horizontal="center" wrapText="1"/>
    </xf>
    <xf numFmtId="49" fontId="24" fillId="10" borderId="2" xfId="1" applyNumberFormat="1" applyFont="1" applyFill="1" applyBorder="1" applyAlignment="1">
      <alignment horizontal="center" wrapText="1"/>
    </xf>
    <xf numFmtId="49" fontId="37" fillId="6" borderId="2" xfId="1" applyNumberFormat="1" applyFont="1" applyFill="1" applyBorder="1" applyAlignment="1">
      <alignment horizontal="center" wrapText="1"/>
    </xf>
    <xf numFmtId="49" fontId="24" fillId="6" borderId="52" xfId="1" applyNumberFormat="1" applyFont="1" applyFill="1" applyBorder="1" applyAlignment="1">
      <alignment horizontal="center" wrapText="1"/>
    </xf>
    <xf numFmtId="49" fontId="37" fillId="10" borderId="58" xfId="1" applyNumberFormat="1" applyFont="1" applyFill="1" applyBorder="1" applyAlignment="1">
      <alignment horizontal="center" wrapText="1"/>
    </xf>
    <xf numFmtId="49" fontId="24" fillId="10" borderId="30" xfId="1" applyNumberFormat="1" applyFont="1" applyFill="1" applyBorder="1" applyAlignment="1">
      <alignment horizontal="center" wrapText="1"/>
    </xf>
    <xf numFmtId="49" fontId="37" fillId="13" borderId="2" xfId="1" applyNumberFormat="1" applyFont="1" applyFill="1" applyBorder="1" applyAlignment="1">
      <alignment horizontal="center" wrapText="1"/>
    </xf>
    <xf numFmtId="49" fontId="24" fillId="13" borderId="52" xfId="1" applyNumberFormat="1" applyFont="1" applyFill="1" applyBorder="1" applyAlignment="1">
      <alignment horizontal="center" wrapText="1"/>
    </xf>
    <xf numFmtId="0" fontId="7" fillId="9" borderId="9" xfId="9" applyFont="1" applyFill="1" applyBorder="1" applyAlignment="1">
      <alignment horizontal="center" vertical="center" wrapText="1"/>
    </xf>
    <xf numFmtId="0" fontId="7" fillId="9" borderId="0" xfId="9" applyFont="1" applyFill="1" applyAlignment="1">
      <alignment horizontal="center" vertical="center"/>
    </xf>
    <xf numFmtId="0" fontId="7" fillId="9" borderId="10" xfId="9" applyFont="1" applyFill="1" applyBorder="1" applyAlignment="1">
      <alignment horizontal="center" vertical="center"/>
    </xf>
    <xf numFmtId="0" fontId="56" fillId="9" borderId="49" xfId="0" applyFont="1" applyFill="1" applyBorder="1" applyAlignment="1">
      <alignment horizontal="center" vertical="center"/>
    </xf>
    <xf numFmtId="0" fontId="56" fillId="9" borderId="53" xfId="0" applyFont="1" applyFill="1" applyBorder="1" applyAlignment="1">
      <alignment horizontal="center" vertical="center"/>
    </xf>
    <xf numFmtId="0" fontId="56" fillId="9" borderId="30" xfId="0" applyFont="1" applyFill="1" applyBorder="1" applyAlignment="1">
      <alignment horizontal="center" vertical="center"/>
    </xf>
    <xf numFmtId="49" fontId="70" fillId="13" borderId="2" xfId="1" applyNumberFormat="1" applyFont="1" applyFill="1" applyBorder="1" applyAlignment="1">
      <alignment horizontal="center" wrapText="1"/>
    </xf>
    <xf numFmtId="49" fontId="71" fillId="13" borderId="52" xfId="1" applyNumberFormat="1" applyFont="1" applyFill="1" applyBorder="1" applyAlignment="1">
      <alignment horizontal="center" wrapText="1"/>
    </xf>
    <xf numFmtId="49" fontId="68" fillId="13" borderId="2" xfId="1" applyNumberFormat="1" applyFont="1" applyFill="1" applyBorder="1" applyAlignment="1">
      <alignment horizontal="center" wrapText="1"/>
    </xf>
    <xf numFmtId="49" fontId="69" fillId="13" borderId="52" xfId="1" applyNumberFormat="1" applyFont="1" applyFill="1" applyBorder="1" applyAlignment="1">
      <alignment horizontal="center" wrapText="1"/>
    </xf>
    <xf numFmtId="0" fontId="63" fillId="0" borderId="0" xfId="0" applyFont="1" applyAlignment="1">
      <alignment horizontal="center" vertical="center"/>
    </xf>
    <xf numFmtId="0" fontId="63" fillId="12" borderId="0" xfId="0" applyFont="1" applyFill="1" applyAlignment="1">
      <alignment horizontal="center" vertical="center" wrapText="1"/>
    </xf>
    <xf numFmtId="0" fontId="8" fillId="0" borderId="15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37" xfId="1" applyFont="1" applyBorder="1" applyAlignment="1">
      <alignment horizontal="center" vertical="center"/>
    </xf>
    <xf numFmtId="0" fontId="63" fillId="12" borderId="0" xfId="0" applyFont="1" applyFill="1" applyAlignment="1">
      <alignment horizontal="left" vertical="center"/>
    </xf>
    <xf numFmtId="0" fontId="54" fillId="9" borderId="6" xfId="0" applyFont="1" applyFill="1" applyBorder="1" applyAlignment="1">
      <alignment horizontal="center" vertical="center"/>
    </xf>
    <xf numFmtId="0" fontId="54" fillId="9" borderId="7" xfId="0" applyFont="1" applyFill="1" applyBorder="1" applyAlignment="1">
      <alignment horizontal="center" vertical="center"/>
    </xf>
    <xf numFmtId="0" fontId="54" fillId="9" borderId="8" xfId="0" applyFont="1" applyFill="1" applyBorder="1" applyAlignment="1">
      <alignment horizontal="center" vertical="center"/>
    </xf>
    <xf numFmtId="49" fontId="9" fillId="12" borderId="3" xfId="1" applyNumberFormat="1" applyFont="1" applyFill="1" applyBorder="1" applyAlignment="1">
      <alignment horizontal="center" wrapText="1"/>
    </xf>
    <xf numFmtId="49" fontId="9" fillId="12" borderId="46" xfId="1" applyNumberFormat="1" applyFont="1" applyFill="1" applyBorder="1" applyAlignment="1">
      <alignment horizontal="center" wrapText="1"/>
    </xf>
    <xf numFmtId="49" fontId="23" fillId="3" borderId="37" xfId="1" applyNumberFormat="1" applyFont="1" applyFill="1" applyBorder="1" applyAlignment="1">
      <alignment horizontal="center" wrapText="1"/>
    </xf>
    <xf numFmtId="49" fontId="23" fillId="3" borderId="55" xfId="1" applyNumberFormat="1" applyFont="1" applyFill="1" applyBorder="1" applyAlignment="1">
      <alignment horizontal="center" wrapText="1"/>
    </xf>
    <xf numFmtId="49" fontId="23" fillId="6" borderId="3" xfId="1" applyNumberFormat="1" applyFont="1" applyFill="1" applyBorder="1" applyAlignment="1">
      <alignment horizontal="center" wrapText="1"/>
    </xf>
    <xf numFmtId="49" fontId="23" fillId="6" borderId="46" xfId="1" applyNumberFormat="1" applyFont="1" applyFill="1" applyBorder="1" applyAlignment="1">
      <alignment horizontal="center" wrapText="1"/>
    </xf>
    <xf numFmtId="49" fontId="23" fillId="6" borderId="35" xfId="1" applyNumberFormat="1" applyFont="1" applyFill="1" applyBorder="1" applyAlignment="1">
      <alignment horizontal="center" wrapText="1"/>
    </xf>
    <xf numFmtId="49" fontId="23" fillId="6" borderId="47" xfId="1" applyNumberFormat="1" applyFont="1" applyFill="1" applyBorder="1" applyAlignment="1">
      <alignment horizontal="center" wrapText="1"/>
    </xf>
    <xf numFmtId="49" fontId="37" fillId="10" borderId="22" xfId="1" applyNumberFormat="1" applyFont="1" applyFill="1" applyBorder="1" applyAlignment="1">
      <alignment horizontal="center" wrapText="1"/>
    </xf>
    <xf numFmtId="49" fontId="24" fillId="10" borderId="24" xfId="1" applyNumberFormat="1" applyFont="1" applyFill="1" applyBorder="1" applyAlignment="1">
      <alignment horizontal="center" wrapText="1"/>
    </xf>
    <xf numFmtId="49" fontId="37" fillId="2" borderId="28" xfId="1" applyNumberFormat="1" applyFont="1" applyFill="1" applyBorder="1" applyAlignment="1">
      <alignment horizontal="center" wrapText="1"/>
    </xf>
    <xf numFmtId="49" fontId="24" fillId="2" borderId="28" xfId="1" applyNumberFormat="1" applyFont="1" applyFill="1" applyBorder="1" applyAlignment="1">
      <alignment horizontal="center" wrapText="1"/>
    </xf>
    <xf numFmtId="49" fontId="37" fillId="2" borderId="21" xfId="1" applyNumberFormat="1" applyFont="1" applyFill="1" applyBorder="1" applyAlignment="1">
      <alignment horizontal="center" wrapText="1"/>
    </xf>
    <xf numFmtId="49" fontId="24" fillId="2" borderId="2" xfId="1" applyNumberFormat="1" applyFont="1" applyFill="1" applyBorder="1" applyAlignment="1">
      <alignment horizontal="center" wrapText="1"/>
    </xf>
    <xf numFmtId="49" fontId="37" fillId="10" borderId="20" xfId="1" applyNumberFormat="1" applyFont="1" applyFill="1" applyBorder="1" applyAlignment="1">
      <alignment horizontal="center" wrapText="1"/>
    </xf>
    <xf numFmtId="49" fontId="24" fillId="10" borderId="23" xfId="1" applyNumberFormat="1" applyFont="1" applyFill="1" applyBorder="1" applyAlignment="1">
      <alignment horizontal="center" wrapText="1"/>
    </xf>
    <xf numFmtId="0" fontId="50" fillId="0" borderId="1" xfId="9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49" fontId="8" fillId="0" borderId="15" xfId="1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center" vertical="center"/>
    </xf>
    <xf numFmtId="49" fontId="8" fillId="0" borderId="137" xfId="1" applyNumberFormat="1" applyFont="1" applyBorder="1" applyAlignment="1">
      <alignment horizontal="center" vertical="center"/>
    </xf>
    <xf numFmtId="49" fontId="8" fillId="0" borderId="60" xfId="1" applyNumberFormat="1" applyFont="1" applyBorder="1" applyAlignment="1">
      <alignment horizontal="center" vertical="center"/>
    </xf>
    <xf numFmtId="49" fontId="8" fillId="0" borderId="57" xfId="1" applyNumberFormat="1" applyFont="1" applyBorder="1" applyAlignment="1">
      <alignment horizontal="center" vertical="center"/>
    </xf>
    <xf numFmtId="49" fontId="8" fillId="0" borderId="144" xfId="1" applyNumberFormat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49" fontId="14" fillId="3" borderId="0" xfId="1" applyNumberFormat="1" applyFont="1" applyFill="1" applyAlignment="1">
      <alignment horizontal="center" vertical="center"/>
    </xf>
    <xf numFmtId="49" fontId="14" fillId="17" borderId="0" xfId="1" applyNumberFormat="1" applyFont="1" applyFill="1" applyAlignment="1">
      <alignment horizontal="center" vertical="center"/>
    </xf>
    <xf numFmtId="49" fontId="14" fillId="18" borderId="0" xfId="1" applyNumberFormat="1" applyFont="1" applyFill="1" applyAlignment="1">
      <alignment horizontal="center" vertical="center"/>
    </xf>
    <xf numFmtId="49" fontId="14" fillId="20" borderId="0" xfId="1" applyNumberFormat="1" applyFont="1" applyFill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1" fillId="3" borderId="19" xfId="0" applyFont="1" applyFill="1" applyBorder="1" applyAlignment="1">
      <alignment horizontal="center" vertical="center"/>
    </xf>
    <xf numFmtId="0" fontId="41" fillId="3" borderId="18" xfId="0" applyFont="1" applyFill="1" applyBorder="1" applyAlignment="1">
      <alignment horizontal="center" vertical="center"/>
    </xf>
  </cellXfs>
  <cellStyles count="31">
    <cellStyle name="Normal" xfId="0" builtinId="0"/>
    <cellStyle name="Normal 2" xfId="1" xr:uid="{6F840059-4CD7-46A9-8ACC-88D47D0674BE}"/>
    <cellStyle name="一般 2" xfId="2" xr:uid="{93C7EEE3-B5A6-4DD8-8BE1-8A43B0D92AEF}"/>
    <cellStyle name="一般 2 2" xfId="4" xr:uid="{8B0759F4-E011-482B-A1E4-1FAAF7F1AA14}"/>
    <cellStyle name="一般 2 3" xfId="7" xr:uid="{930A1EF2-ED64-4898-B37F-64A5810DBA89}"/>
    <cellStyle name="一般 3" xfId="3" xr:uid="{FEA22C63-342D-4C51-A048-5F2705C0C0ED}"/>
    <cellStyle name="一般 3 2" xfId="10" xr:uid="{DC1FBE1C-37AA-4FA5-B0FD-F14DD0FBDFA6}"/>
    <cellStyle name="一般 3 2 2" xfId="16" xr:uid="{E63DD402-62AE-4C31-8CF4-8D2699DF33C7}"/>
    <cellStyle name="一般 3 2 2 2" xfId="28" xr:uid="{F3416A5E-17B6-451B-892F-D1BDA3A62610}"/>
    <cellStyle name="一般 3 2 3" xfId="22" xr:uid="{5052C534-3C24-404E-B54A-F3A09130B58E}"/>
    <cellStyle name="一般 3 3" xfId="13" xr:uid="{6AF3DA26-F332-4D67-84D8-1FC49BF6F1A0}"/>
    <cellStyle name="一般 3 3 2" xfId="25" xr:uid="{D210AE85-3AF7-4961-885F-695436EEFE61}"/>
    <cellStyle name="一般 3 4" xfId="19" xr:uid="{D87FB344-1C19-43F8-99B1-14C5E1FC7A16}"/>
    <cellStyle name="一般 4" xfId="5" xr:uid="{CAC9EA34-6BCA-4C4B-A71D-135596D2F7E2}"/>
    <cellStyle name="一般 5" xfId="6" xr:uid="{E446E1D8-4DA6-4766-9E98-E5113BB34DD8}"/>
    <cellStyle name="一般 5 2" xfId="11" xr:uid="{7386164E-D45C-40E8-9740-0E03C1FD34BB}"/>
    <cellStyle name="一般 5 2 2" xfId="17" xr:uid="{8A57F844-A6B6-4D26-91E7-FD867790E133}"/>
    <cellStyle name="一般 5 2 2 2" xfId="29" xr:uid="{5C0D314D-B611-46D9-8442-4800B1F29F2C}"/>
    <cellStyle name="一般 5 2 3" xfId="23" xr:uid="{5DCBA4E3-B149-47F3-A606-5D3950D69112}"/>
    <cellStyle name="一般 5 3" xfId="14" xr:uid="{0CEBBC04-4828-47C7-9C6A-40FC642BDAFB}"/>
    <cellStyle name="一般 5 3 2" xfId="26" xr:uid="{A52F89F3-8401-4A62-ACF2-356D71D0FD0C}"/>
    <cellStyle name="一般 5 4" xfId="20" xr:uid="{C249424D-5550-48AD-AE60-B460429383C7}"/>
    <cellStyle name="一般 6" xfId="9" xr:uid="{719DBB35-3139-46A3-ABFC-584E12CB35EE}"/>
    <cellStyle name="一般 86" xfId="8" xr:uid="{9799C5AA-4A9E-453F-AD9C-E533EEBD3F28}"/>
    <cellStyle name="一般 86 2" xfId="12" xr:uid="{3E8E2704-D31B-45A2-8771-B431AAE8F379}"/>
    <cellStyle name="一般 86 2 2" xfId="18" xr:uid="{61878FC2-CACC-4349-A1FF-32903EDE1C62}"/>
    <cellStyle name="一般 86 2 2 2" xfId="30" xr:uid="{A5C17C09-1CF6-4B8F-BE69-882925A54C4D}"/>
    <cellStyle name="一般 86 2 3" xfId="24" xr:uid="{5CE86E89-A9FE-43CB-97DB-68745BFB4231}"/>
    <cellStyle name="一般 86 3" xfId="15" xr:uid="{95A8618D-8D94-4E45-A5CA-0A53A7621F79}"/>
    <cellStyle name="一般 86 3 2" xfId="27" xr:uid="{53ADC78C-1A1C-4F4E-B669-C35F612288D6}"/>
    <cellStyle name="一般 86 4" xfId="21" xr:uid="{68B2A4F0-E8DD-4034-A5D1-1F2E38CF1492}"/>
  </cellStyles>
  <dxfs count="171"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theme="0"/>
      </font>
      <fill>
        <patternFill>
          <bgColor theme="0"/>
        </patternFill>
      </fill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theme="0"/>
      </font>
      <fill>
        <patternFill>
          <bgColor theme="0"/>
        </patternFill>
      </fill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color theme="0"/>
      </font>
      <fill>
        <patternFill>
          <bgColor theme="0"/>
        </patternFill>
      </fill>
    </dxf>
    <dxf>
      <font>
        <strike val="0"/>
        <color rgb="FFFF0000"/>
      </font>
    </dxf>
  </dxfs>
  <tableStyles count="0" defaultTableStyle="TableStyleMedium2" defaultPivotStyle="PivotStyleLight16"/>
  <colors>
    <mruColors>
      <color rgb="FFCD91E5"/>
      <color rgb="FFFFCCFF"/>
      <color rgb="FFB9E9FA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3A85-668D-4773-A073-066431F3B3AB}">
  <sheetPr>
    <tabColor theme="0"/>
    <pageSetUpPr fitToPage="1"/>
  </sheetPr>
  <dimension ref="A1:FYB1555"/>
  <sheetViews>
    <sheetView tabSelected="1" zoomScale="60" zoomScaleNormal="60" zoomScaleSheetLayoutView="40" zoomScalePageLayoutView="60" workbookViewId="0">
      <pane xSplit="3" ySplit="4" topLeftCell="G43" activePane="bottomRight" state="frozen"/>
      <selection pane="bottomRight" activeCell="R62" sqref="R62"/>
      <selection pane="bottomLeft" activeCell="A5" sqref="A5"/>
      <selection pane="topRight" activeCell="E1" sqref="E1"/>
    </sheetView>
  </sheetViews>
  <sheetFormatPr defaultColWidth="9.140625" defaultRowHeight="15" customHeight="1" outlineLevelCol="1"/>
  <cols>
    <col min="1" max="1" width="5.85546875" style="3" bestFit="1" customWidth="1"/>
    <col min="2" max="2" width="8.5703125" style="122" customWidth="1"/>
    <col min="3" max="3" width="13.140625" style="3" customWidth="1"/>
    <col min="4" max="20" width="10.5703125" style="3" customWidth="1"/>
    <col min="21" max="21" width="10.140625" style="3" customWidth="1"/>
    <col min="22" max="33" width="10.5703125" style="3" customWidth="1"/>
    <col min="34" max="34" width="10.5703125" style="3" hidden="1" customWidth="1"/>
    <col min="35" max="35" width="9.85546875" style="3" customWidth="1"/>
    <col min="36" max="36" width="11.85546875" style="3" hidden="1" customWidth="1"/>
    <col min="37" max="37" width="8" style="3" hidden="1" customWidth="1"/>
    <col min="38" max="38" width="10.85546875" style="3" hidden="1" customWidth="1"/>
    <col min="39" max="39" width="9.42578125" style="3" hidden="1" customWidth="1"/>
    <col min="40" max="40" width="3.140625" style="3" customWidth="1"/>
    <col min="41" max="41" width="9.140625" style="3" customWidth="1" outlineLevel="1"/>
    <col min="42" max="42" width="11.5703125" style="3" customWidth="1" outlineLevel="1"/>
    <col min="43" max="43" width="10.5703125" style="3" customWidth="1" outlineLevel="1"/>
    <col min="44" max="44" width="8.5703125" style="3" customWidth="1" outlineLevel="1"/>
    <col min="45" max="45" width="9.85546875" style="3" customWidth="1" outlineLevel="1"/>
    <col min="46" max="46" width="12.42578125" style="3" customWidth="1" outlineLevel="1"/>
    <col min="47" max="47" width="11.5703125" style="3" customWidth="1" outlineLevel="1"/>
    <col min="48" max="48" width="3.140625" style="3" customWidth="1" outlineLevel="1"/>
    <col min="49" max="49" width="14.140625" style="3" hidden="1" customWidth="1" outlineLevel="1"/>
    <col min="50" max="51" width="9.140625" style="3" hidden="1" customWidth="1" outlineLevel="1"/>
    <col min="52" max="52" width="14.85546875" style="3" hidden="1" customWidth="1" outlineLevel="1"/>
    <col min="53" max="54" width="11.5703125" style="3" hidden="1" customWidth="1" outlineLevel="1"/>
    <col min="55" max="55" width="10.5703125" style="3" hidden="1" customWidth="1" outlineLevel="1"/>
    <col min="56" max="56" width="9.140625" style="3"/>
    <col min="57" max="57" width="9.140625" style="64"/>
    <col min="58" max="16384" width="9.140625" style="3"/>
  </cols>
  <sheetData>
    <row r="1" spans="1:61" ht="72.75" customHeight="1" thickBot="1">
      <c r="A1" s="3" t="s">
        <v>0</v>
      </c>
      <c r="B1" s="135"/>
      <c r="C1" s="112"/>
      <c r="D1" s="984" t="s">
        <v>1</v>
      </c>
      <c r="E1" s="984"/>
      <c r="F1" s="984"/>
      <c r="G1" s="984"/>
      <c r="H1" s="984"/>
      <c r="I1" s="984"/>
      <c r="J1" s="984"/>
      <c r="K1" s="984"/>
      <c r="L1" s="984"/>
      <c r="M1" s="984"/>
      <c r="N1" s="984"/>
      <c r="O1" s="984"/>
      <c r="P1" s="984"/>
      <c r="Q1" s="984"/>
      <c r="R1" s="984"/>
      <c r="S1" s="146"/>
      <c r="T1" s="146"/>
      <c r="U1" s="259"/>
      <c r="V1" s="1031" t="s">
        <v>2</v>
      </c>
      <c r="W1" s="1031"/>
      <c r="X1" s="1031"/>
      <c r="Y1" s="1031"/>
      <c r="Z1" s="1031"/>
      <c r="AA1" s="1031"/>
      <c r="AB1" s="1031"/>
      <c r="AC1" s="1031"/>
      <c r="AD1" s="1031"/>
      <c r="AE1" s="1031"/>
      <c r="AF1" s="344"/>
      <c r="AG1" s="344"/>
      <c r="AH1" s="344"/>
      <c r="AI1" s="112"/>
      <c r="AJ1" s="996" t="s">
        <v>3</v>
      </c>
      <c r="AK1" s="997"/>
      <c r="AL1" s="997"/>
      <c r="AM1" s="998"/>
      <c r="AN1" s="181"/>
      <c r="AO1" s="999" t="s">
        <v>4</v>
      </c>
      <c r="AP1" s="1000"/>
      <c r="AQ1" s="1000"/>
      <c r="AR1" s="1000"/>
      <c r="AS1" s="1000"/>
      <c r="AT1" s="1000"/>
      <c r="AU1" s="1001"/>
      <c r="AW1" s="1012" t="s">
        <v>5</v>
      </c>
      <c r="AX1" s="1013"/>
      <c r="AY1" s="1013"/>
      <c r="AZ1" s="1013"/>
      <c r="BA1" s="1013"/>
      <c r="BB1" s="1013"/>
      <c r="BC1" s="1014"/>
    </row>
    <row r="2" spans="1:61" ht="18.75" customHeight="1">
      <c r="A2" s="4"/>
      <c r="B2" s="136"/>
      <c r="C2" s="260"/>
      <c r="D2" s="207" t="s">
        <v>6</v>
      </c>
      <c r="E2" s="12" t="s">
        <v>7</v>
      </c>
      <c r="F2" s="229" t="s">
        <v>8</v>
      </c>
      <c r="G2" s="229" t="s">
        <v>9</v>
      </c>
      <c r="H2" s="229" t="s">
        <v>10</v>
      </c>
      <c r="I2" s="208" t="s">
        <v>11</v>
      </c>
      <c r="J2" s="341" t="s">
        <v>12</v>
      </c>
      <c r="K2" s="207" t="s">
        <v>6</v>
      </c>
      <c r="L2" s="12" t="s">
        <v>7</v>
      </c>
      <c r="M2" s="229" t="s">
        <v>8</v>
      </c>
      <c r="N2" s="229" t="s">
        <v>9</v>
      </c>
      <c r="O2" s="229" t="s">
        <v>10</v>
      </c>
      <c r="P2" s="208" t="s">
        <v>11</v>
      </c>
      <c r="Q2" s="341" t="s">
        <v>12</v>
      </c>
      <c r="R2" s="208" t="s">
        <v>6</v>
      </c>
      <c r="S2" s="208" t="s">
        <v>7</v>
      </c>
      <c r="T2" s="229" t="s">
        <v>8</v>
      </c>
      <c r="U2" s="229" t="s">
        <v>9</v>
      </c>
      <c r="V2" s="229" t="s">
        <v>10</v>
      </c>
      <c r="W2" s="208" t="s">
        <v>11</v>
      </c>
      <c r="X2" s="341" t="s">
        <v>12</v>
      </c>
      <c r="Y2" s="207" t="s">
        <v>6</v>
      </c>
      <c r="Z2" s="12" t="s">
        <v>7</v>
      </c>
      <c r="AA2" s="229" t="s">
        <v>8</v>
      </c>
      <c r="AB2" s="229" t="s">
        <v>9</v>
      </c>
      <c r="AC2" s="229" t="s">
        <v>10</v>
      </c>
      <c r="AD2" s="208" t="s">
        <v>11</v>
      </c>
      <c r="AE2" s="341" t="s">
        <v>12</v>
      </c>
      <c r="AF2" s="207" t="s">
        <v>6</v>
      </c>
      <c r="AG2" s="12" t="s">
        <v>7</v>
      </c>
      <c r="AH2" s="229"/>
      <c r="AI2" s="1015" t="s">
        <v>13</v>
      </c>
      <c r="AJ2" s="1017" t="s">
        <v>14</v>
      </c>
      <c r="AK2" s="1019" t="s">
        <v>15</v>
      </c>
      <c r="AL2" s="1019" t="s">
        <v>16</v>
      </c>
      <c r="AM2" s="1021" t="s">
        <v>17</v>
      </c>
      <c r="AN2" s="386"/>
      <c r="AO2" s="994" t="s">
        <v>18</v>
      </c>
      <c r="AP2" s="994" t="s">
        <v>19</v>
      </c>
      <c r="AQ2" s="990" t="s">
        <v>20</v>
      </c>
      <c r="AR2" s="1002" t="s">
        <v>21</v>
      </c>
      <c r="AS2" s="1004" t="s">
        <v>22</v>
      </c>
      <c r="AT2" s="994" t="s">
        <v>23</v>
      </c>
      <c r="AU2" s="990" t="s">
        <v>24</v>
      </c>
      <c r="AW2" s="992" t="s">
        <v>25</v>
      </c>
      <c r="AX2" s="1027" t="s">
        <v>26</v>
      </c>
      <c r="AY2" s="1023" t="s">
        <v>27</v>
      </c>
      <c r="AZ2" s="1029" t="s">
        <v>28</v>
      </c>
      <c r="BA2" s="988" t="s">
        <v>29</v>
      </c>
      <c r="BB2" s="1023" t="s">
        <v>27</v>
      </c>
      <c r="BC2" s="1025" t="s">
        <v>30</v>
      </c>
      <c r="BE2" s="65"/>
      <c r="BG2" s="65"/>
      <c r="BH2" s="62"/>
      <c r="BI2" s="62"/>
    </row>
    <row r="3" spans="1:61" s="6" customFormat="1" ht="20.25" customHeight="1">
      <c r="A3" s="149"/>
      <c r="B3" s="150" t="s">
        <v>31</v>
      </c>
      <c r="C3" s="261" t="s">
        <v>32</v>
      </c>
      <c r="D3" s="411">
        <v>1</v>
      </c>
      <c r="E3" s="975">
        <v>2</v>
      </c>
      <c r="F3" s="586">
        <v>3</v>
      </c>
      <c r="G3" s="585">
        <v>4</v>
      </c>
      <c r="H3" s="586">
        <v>5</v>
      </c>
      <c r="I3" s="586">
        <v>6</v>
      </c>
      <c r="J3" s="342">
        <v>7</v>
      </c>
      <c r="K3" s="587">
        <v>8</v>
      </c>
      <c r="L3" s="586">
        <v>9</v>
      </c>
      <c r="M3" s="587">
        <v>10</v>
      </c>
      <c r="N3" s="586">
        <v>11</v>
      </c>
      <c r="O3" s="587">
        <v>12</v>
      </c>
      <c r="P3" s="586">
        <v>13</v>
      </c>
      <c r="Q3" s="342">
        <v>14</v>
      </c>
      <c r="R3" s="587">
        <v>15</v>
      </c>
      <c r="S3" s="587">
        <v>16</v>
      </c>
      <c r="T3" s="411">
        <v>17</v>
      </c>
      <c r="U3" s="586">
        <v>18</v>
      </c>
      <c r="V3" s="411">
        <v>19</v>
      </c>
      <c r="W3" s="412">
        <v>20</v>
      </c>
      <c r="X3" s="458">
        <v>21</v>
      </c>
      <c r="Y3" s="586">
        <v>22</v>
      </c>
      <c r="Z3" s="586">
        <v>23</v>
      </c>
      <c r="AA3" s="587">
        <v>24</v>
      </c>
      <c r="AB3" s="412">
        <v>25</v>
      </c>
      <c r="AC3" s="412">
        <v>26</v>
      </c>
      <c r="AD3" s="412">
        <v>27</v>
      </c>
      <c r="AE3" s="342">
        <v>28</v>
      </c>
      <c r="AF3" s="588">
        <v>29</v>
      </c>
      <c r="AG3" s="413">
        <v>30</v>
      </c>
      <c r="AH3" s="413"/>
      <c r="AI3" s="1016"/>
      <c r="AJ3" s="1018"/>
      <c r="AK3" s="1020"/>
      <c r="AL3" s="1020"/>
      <c r="AM3" s="1022"/>
      <c r="AN3" s="391"/>
      <c r="AO3" s="995"/>
      <c r="AP3" s="995"/>
      <c r="AQ3" s="991"/>
      <c r="AR3" s="1003"/>
      <c r="AS3" s="1005"/>
      <c r="AT3" s="995"/>
      <c r="AU3" s="991"/>
      <c r="AV3" s="3"/>
      <c r="AW3" s="993"/>
      <c r="AX3" s="1028"/>
      <c r="AY3" s="1024"/>
      <c r="AZ3" s="1030"/>
      <c r="BA3" s="989"/>
      <c r="BB3" s="1024"/>
      <c r="BC3" s="1026"/>
      <c r="BH3" s="63"/>
      <c r="BI3" s="63"/>
    </row>
    <row r="4" spans="1:61" s="161" customFormat="1" ht="43.5" customHeight="1" thickTop="1" thickBot="1">
      <c r="A4" s="985"/>
      <c r="B4" s="986"/>
      <c r="C4" s="987"/>
      <c r="D4" s="909" t="s">
        <v>33</v>
      </c>
      <c r="E4" s="896" t="s">
        <v>34</v>
      </c>
      <c r="F4" s="414"/>
      <c r="G4" s="908" t="s">
        <v>35</v>
      </c>
      <c r="H4" s="598" t="s">
        <v>36</v>
      </c>
      <c r="I4" s="908" t="s">
        <v>35</v>
      </c>
      <c r="J4" s="416"/>
      <c r="K4" s="909" t="s">
        <v>33</v>
      </c>
      <c r="L4" s="599" t="s">
        <v>37</v>
      </c>
      <c r="M4" s="600" t="s">
        <v>38</v>
      </c>
      <c r="N4" s="908" t="s">
        <v>35</v>
      </c>
      <c r="O4" s="598" t="s">
        <v>39</v>
      </c>
      <c r="P4" s="908" t="s">
        <v>35</v>
      </c>
      <c r="Q4" s="440"/>
      <c r="R4" s="909" t="s">
        <v>33</v>
      </c>
      <c r="S4" s="599" t="s">
        <v>37</v>
      </c>
      <c r="T4" s="589"/>
      <c r="U4" s="908" t="s">
        <v>35</v>
      </c>
      <c r="V4" s="598" t="s">
        <v>39</v>
      </c>
      <c r="W4" s="908" t="s">
        <v>35</v>
      </c>
      <c r="X4" s="416"/>
      <c r="Y4" s="909" t="s">
        <v>40</v>
      </c>
      <c r="Z4" s="599" t="s">
        <v>37</v>
      </c>
      <c r="AA4" s="601" t="s">
        <v>41</v>
      </c>
      <c r="AB4" s="908" t="s">
        <v>35</v>
      </c>
      <c r="AC4" s="598" t="s">
        <v>39</v>
      </c>
      <c r="AD4" s="908" t="s">
        <v>35</v>
      </c>
      <c r="AE4" s="440"/>
      <c r="AF4" s="909" t="s">
        <v>33</v>
      </c>
      <c r="AG4" s="599" t="s">
        <v>37</v>
      </c>
      <c r="AH4" s="415"/>
      <c r="AI4" s="152"/>
      <c r="AJ4" s="153"/>
      <c r="AK4" s="152"/>
      <c r="AL4" s="152"/>
      <c r="AM4" s="154"/>
      <c r="AN4" s="392"/>
      <c r="AO4" s="155"/>
      <c r="AP4" s="155"/>
      <c r="AQ4" s="155"/>
      <c r="AR4" s="155"/>
      <c r="AS4" s="155"/>
      <c r="AT4" s="155"/>
      <c r="AU4" s="155"/>
      <c r="AV4" s="111"/>
      <c r="AW4" s="156"/>
      <c r="AX4" s="157"/>
      <c r="AY4" s="158"/>
      <c r="AZ4" s="159"/>
      <c r="BA4" s="157"/>
      <c r="BB4" s="158"/>
      <c r="BC4" s="160"/>
      <c r="BH4" s="162"/>
      <c r="BI4" s="162"/>
    </row>
    <row r="5" spans="1:61" s="6" customFormat="1" ht="18" customHeight="1">
      <c r="A5" s="91"/>
      <c r="B5" s="121"/>
      <c r="C5" s="262"/>
      <c r="D5" s="645"/>
      <c r="E5" s="645"/>
      <c r="F5" s="646"/>
      <c r="G5" s="647"/>
      <c r="H5" s="648"/>
      <c r="I5" s="649"/>
      <c r="J5" s="650"/>
      <c r="K5" s="651"/>
      <c r="L5" s="647"/>
      <c r="M5" s="647"/>
      <c r="N5" s="649"/>
      <c r="O5" s="647"/>
      <c r="P5" s="649"/>
      <c r="Q5" s="650"/>
      <c r="R5" s="647"/>
      <c r="S5" s="647"/>
      <c r="T5" s="647"/>
      <c r="U5" s="649"/>
      <c r="V5" s="652"/>
      <c r="W5" s="649"/>
      <c r="X5" s="650"/>
      <c r="Y5" s="649"/>
      <c r="Z5" s="649"/>
      <c r="AA5" s="647"/>
      <c r="AB5" s="649"/>
      <c r="AC5" s="647"/>
      <c r="AD5" s="653"/>
      <c r="AE5" s="654"/>
      <c r="AF5" s="655"/>
      <c r="AG5" s="655"/>
      <c r="AH5" s="473"/>
      <c r="AI5" s="195"/>
      <c r="AJ5" s="104"/>
      <c r="AK5" s="92"/>
      <c r="AL5" s="92"/>
      <c r="AM5" s="105"/>
      <c r="AN5" s="386"/>
      <c r="AO5" s="93"/>
      <c r="AP5" s="93"/>
      <c r="AQ5" s="108"/>
      <c r="AR5" s="93"/>
      <c r="AS5" s="93"/>
      <c r="AT5" s="93"/>
      <c r="AU5" s="94"/>
      <c r="AV5" s="3"/>
      <c r="AW5" s="140"/>
      <c r="AX5" s="93"/>
      <c r="AY5" s="95"/>
      <c r="AZ5" s="96"/>
      <c r="BA5" s="93"/>
      <c r="BB5" s="95"/>
      <c r="BC5" s="97"/>
      <c r="BH5" s="63"/>
      <c r="BI5" s="63"/>
    </row>
    <row r="6" spans="1:61" s="6" customFormat="1" ht="18" customHeight="1" thickBot="1">
      <c r="A6" s="130"/>
      <c r="B6" s="138" t="s">
        <v>42</v>
      </c>
      <c r="C6" s="625" t="s">
        <v>43</v>
      </c>
      <c r="D6" s="656" t="s">
        <v>44</v>
      </c>
      <c r="E6" s="657" t="s">
        <v>44</v>
      </c>
      <c r="F6" s="658" t="s">
        <v>44</v>
      </c>
      <c r="G6" s="659" t="s">
        <v>44</v>
      </c>
      <c r="H6" s="660" t="s">
        <v>44</v>
      </c>
      <c r="I6" s="661" t="s">
        <v>45</v>
      </c>
      <c r="J6" s="662" t="s">
        <v>45</v>
      </c>
      <c r="K6" s="660" t="s">
        <v>44</v>
      </c>
      <c r="L6" s="660" t="s">
        <v>44</v>
      </c>
      <c r="M6" s="660" t="s">
        <v>44</v>
      </c>
      <c r="N6" s="660" t="s">
        <v>44</v>
      </c>
      <c r="O6" s="660" t="s">
        <v>44</v>
      </c>
      <c r="P6" s="661" t="s">
        <v>45</v>
      </c>
      <c r="Q6" s="663" t="s">
        <v>45</v>
      </c>
      <c r="R6" s="660" t="s">
        <v>44</v>
      </c>
      <c r="S6" s="660" t="s">
        <v>44</v>
      </c>
      <c r="T6" s="660" t="s">
        <v>44</v>
      </c>
      <c r="U6" s="660" t="s">
        <v>44</v>
      </c>
      <c r="V6" s="664" t="s">
        <v>46</v>
      </c>
      <c r="W6" s="664" t="s">
        <v>45</v>
      </c>
      <c r="X6" s="665" t="s">
        <v>45</v>
      </c>
      <c r="Y6" s="660" t="s">
        <v>44</v>
      </c>
      <c r="Z6" s="660" t="s">
        <v>44</v>
      </c>
      <c r="AA6" s="660" t="s">
        <v>44</v>
      </c>
      <c r="AB6" s="660" t="s">
        <v>44</v>
      </c>
      <c r="AC6" s="660" t="s">
        <v>44</v>
      </c>
      <c r="AD6" s="664" t="s">
        <v>45</v>
      </c>
      <c r="AE6" s="665" t="s">
        <v>45</v>
      </c>
      <c r="AF6" s="660" t="s">
        <v>44</v>
      </c>
      <c r="AG6" s="660" t="s">
        <v>44</v>
      </c>
      <c r="AH6" s="483"/>
      <c r="AI6" s="375" cm="1">
        <f t="array" ref="AI6">SUM(COUNTIF(D6:AH6,{"DO","DO1","DO2","DO3","DO4","DO5","DO6","DO7","DO8","DO9","DO10"}))</f>
        <v>8</v>
      </c>
      <c r="AJ6" s="368"/>
      <c r="AK6" s="81"/>
      <c r="AL6" s="81"/>
      <c r="AM6" s="101"/>
      <c r="AN6" s="393"/>
      <c r="AO6" s="82">
        <v>8</v>
      </c>
      <c r="AP6" s="174">
        <v>0</v>
      </c>
      <c r="AQ6" s="83">
        <f>AO6+AP6-AI6</f>
        <v>0</v>
      </c>
      <c r="AR6" s="82">
        <v>1</v>
      </c>
      <c r="AS6" s="82">
        <v>0</v>
      </c>
      <c r="AT6" s="214" cm="1">
        <f t="array" ref="AT6">SUM(COUNTIF(D6:AG6,{"PH1","PH2","PH3","PH4","PH5","PH6","PH7","PH8","PH9","PH10","PH11","PH12","PH13","PH14","PH15","PH16","PH17"}))</f>
        <v>1</v>
      </c>
      <c r="AU6" s="83">
        <f>AR6+AS6-AT6</f>
        <v>0</v>
      </c>
      <c r="AV6" s="3"/>
      <c r="AW6" s="140"/>
      <c r="AX6" s="93"/>
      <c r="AY6" s="95"/>
      <c r="AZ6" s="96"/>
      <c r="BA6" s="93"/>
      <c r="BB6" s="95"/>
      <c r="BC6" s="97"/>
      <c r="BH6" s="63"/>
      <c r="BI6" s="63"/>
    </row>
    <row r="7" spans="1:61" s="6" customFormat="1" ht="21" thickTop="1">
      <c r="A7" s="91"/>
      <c r="B7" s="121" t="s">
        <v>47</v>
      </c>
      <c r="C7" s="263"/>
      <c r="D7" s="666"/>
      <c r="E7" s="646"/>
      <c r="F7" s="667"/>
      <c r="G7" s="646"/>
      <c r="H7" s="646"/>
      <c r="I7" s="646"/>
      <c r="J7" s="668"/>
      <c r="K7" s="646"/>
      <c r="L7" s="667"/>
      <c r="M7" s="646"/>
      <c r="N7" s="667"/>
      <c r="O7" s="646"/>
      <c r="P7" s="667"/>
      <c r="Q7" s="669"/>
      <c r="R7" s="667"/>
      <c r="S7" s="646"/>
      <c r="T7" s="645"/>
      <c r="U7" s="645"/>
      <c r="V7" s="670"/>
      <c r="W7" s="670"/>
      <c r="X7" s="669"/>
      <c r="Y7" s="670"/>
      <c r="Z7" s="670"/>
      <c r="AA7" s="646"/>
      <c r="AB7" s="645"/>
      <c r="AC7" s="645"/>
      <c r="AD7" s="645"/>
      <c r="AE7" s="668"/>
      <c r="AF7" s="645"/>
      <c r="AG7" s="645"/>
      <c r="AH7" s="468"/>
      <c r="AI7" s="618"/>
      <c r="AJ7" s="104"/>
      <c r="AK7" s="92"/>
      <c r="AL7" s="92"/>
      <c r="AM7" s="105"/>
      <c r="AN7" s="386"/>
      <c r="AO7" s="93"/>
      <c r="AP7" s="147"/>
      <c r="AQ7" s="94"/>
      <c r="AR7" s="93"/>
      <c r="AS7" s="93"/>
      <c r="AT7" s="93"/>
      <c r="AU7" s="94"/>
      <c r="AV7" s="3"/>
      <c r="AW7" s="140"/>
      <c r="AX7" s="93"/>
      <c r="AY7" s="95"/>
      <c r="AZ7" s="96"/>
      <c r="BA7" s="93"/>
      <c r="BB7" s="95"/>
      <c r="BC7" s="97"/>
      <c r="BH7" s="63"/>
      <c r="BI7" s="63"/>
    </row>
    <row r="8" spans="1:61" s="6" customFormat="1" ht="18" customHeight="1" thickBot="1">
      <c r="A8" s="80"/>
      <c r="B8" s="120" t="s">
        <v>48</v>
      </c>
      <c r="C8" s="263" t="s">
        <v>49</v>
      </c>
      <c r="D8" s="671" t="s">
        <v>44</v>
      </c>
      <c r="E8" s="672" t="s">
        <v>44</v>
      </c>
      <c r="F8" s="674" t="s">
        <v>50</v>
      </c>
      <c r="G8" s="672" t="s">
        <v>44</v>
      </c>
      <c r="H8" s="672" t="s">
        <v>44</v>
      </c>
      <c r="I8" s="672" t="s">
        <v>44</v>
      </c>
      <c r="J8" s="673" t="s">
        <v>51</v>
      </c>
      <c r="K8" s="674" t="s">
        <v>52</v>
      </c>
      <c r="L8" s="672" t="s">
        <v>44</v>
      </c>
      <c r="M8" s="672" t="s">
        <v>44</v>
      </c>
      <c r="N8" s="672" t="s">
        <v>44</v>
      </c>
      <c r="O8" s="672" t="s">
        <v>44</v>
      </c>
      <c r="P8" s="675" t="s">
        <v>53</v>
      </c>
      <c r="Q8" s="676" t="s">
        <v>44</v>
      </c>
      <c r="R8" s="672" t="s">
        <v>44</v>
      </c>
      <c r="S8" s="672" t="s">
        <v>44</v>
      </c>
      <c r="T8" s="672" t="s">
        <v>44</v>
      </c>
      <c r="U8" s="672" t="s">
        <v>44</v>
      </c>
      <c r="V8" s="672" t="s">
        <v>44</v>
      </c>
      <c r="W8" s="675" t="s">
        <v>46</v>
      </c>
      <c r="X8" s="677" t="s">
        <v>54</v>
      </c>
      <c r="Y8" s="678" t="s">
        <v>44</v>
      </c>
      <c r="Z8" s="672" t="s">
        <v>44</v>
      </c>
      <c r="AA8" s="672" t="s">
        <v>44</v>
      </c>
      <c r="AB8" s="672" t="s">
        <v>44</v>
      </c>
      <c r="AC8" s="672" t="s">
        <v>44</v>
      </c>
      <c r="AD8" s="674" t="s">
        <v>55</v>
      </c>
      <c r="AE8" s="679" t="s">
        <v>44</v>
      </c>
      <c r="AF8" s="680" t="s">
        <v>44</v>
      </c>
      <c r="AG8" s="672" t="s">
        <v>44</v>
      </c>
      <c r="AH8" s="478"/>
      <c r="AI8" s="372" cm="1">
        <f t="array" ref="AI8">SUM(COUNTIF(D8:AH8,{"DO","DO1","DO2","DO3","DO4","DO5","DO6","DO7","DO8","DO9","DO10"}))</f>
        <v>6</v>
      </c>
      <c r="AJ8" s="211"/>
      <c r="AK8" s="212"/>
      <c r="AL8" s="212"/>
      <c r="AM8" s="213"/>
      <c r="AN8" s="394"/>
      <c r="AO8" s="214">
        <v>6</v>
      </c>
      <c r="AP8" s="238">
        <v>0</v>
      </c>
      <c r="AQ8" s="216">
        <f>AO8+AP8-AI8</f>
        <v>0</v>
      </c>
      <c r="AR8" s="214">
        <v>1</v>
      </c>
      <c r="AS8" s="214">
        <v>0</v>
      </c>
      <c r="AT8" s="214" cm="1">
        <f t="array" ref="AT8">SUM(COUNTIF(D8:AH8,{"PH1","PH2","PH3","PH4","PH5","PH6","PH7","PH8","PH9","PH10","PH11","PH12","PH13","PH14","PH15","PH16","PH17"}))</f>
        <v>1</v>
      </c>
      <c r="AU8" s="216">
        <f>AR8+AS8-AT8</f>
        <v>0</v>
      </c>
      <c r="AV8" s="3"/>
      <c r="AW8" s="140"/>
      <c r="AX8" s="93"/>
      <c r="AY8" s="95"/>
      <c r="AZ8" s="96"/>
      <c r="BA8" s="93"/>
      <c r="BB8" s="95"/>
      <c r="BC8" s="97"/>
      <c r="BH8" s="63"/>
      <c r="BI8" s="63"/>
    </row>
    <row r="9" spans="1:61" s="6" customFormat="1" ht="18" customHeight="1" thickTop="1">
      <c r="A9" s="88"/>
      <c r="B9" s="312" t="s">
        <v>47</v>
      </c>
      <c r="C9" s="264" t="s">
        <v>56</v>
      </c>
      <c r="D9" s="969" t="s">
        <v>57</v>
      </c>
      <c r="E9" s="976"/>
      <c r="F9" s="823" t="s">
        <v>58</v>
      </c>
      <c r="G9" s="944" t="s">
        <v>59</v>
      </c>
      <c r="H9" s="944" t="s">
        <v>59</v>
      </c>
      <c r="I9" s="824"/>
      <c r="J9" s="796"/>
      <c r="K9" s="824"/>
      <c r="L9" s="823"/>
      <c r="M9" s="824"/>
      <c r="N9" s="823"/>
      <c r="O9" s="824"/>
      <c r="P9" s="823"/>
      <c r="Q9" s="796"/>
      <c r="R9" s="823" t="s">
        <v>58</v>
      </c>
      <c r="S9" s="970" t="s">
        <v>60</v>
      </c>
      <c r="T9" s="825"/>
      <c r="U9" s="826"/>
      <c r="V9" s="827"/>
      <c r="W9" s="944" t="s">
        <v>59</v>
      </c>
      <c r="X9" s="828" t="s">
        <v>59</v>
      </c>
      <c r="Y9" s="827"/>
      <c r="Z9" s="827"/>
      <c r="AA9" s="824"/>
      <c r="AB9" s="825"/>
      <c r="AC9" s="825" t="s">
        <v>59</v>
      </c>
      <c r="AD9" s="825"/>
      <c r="AE9" s="829"/>
      <c r="AF9" s="826"/>
      <c r="AG9" s="682"/>
      <c r="AH9" s="616"/>
      <c r="AI9" s="618"/>
      <c r="AJ9" s="369"/>
      <c r="AK9" s="92"/>
      <c r="AL9" s="92"/>
      <c r="AM9" s="633"/>
      <c r="AN9" s="629"/>
      <c r="AO9" s="297"/>
      <c r="AP9" s="298"/>
      <c r="AQ9" s="301"/>
      <c r="AR9" s="297"/>
      <c r="AS9" s="297"/>
      <c r="AT9" s="297"/>
      <c r="AU9" s="630"/>
      <c r="AV9" s="3"/>
      <c r="AW9" s="140"/>
      <c r="AX9" s="93"/>
      <c r="AY9" s="95"/>
      <c r="AZ9" s="96"/>
      <c r="BA9" s="93"/>
      <c r="BB9" s="95"/>
      <c r="BC9" s="97"/>
      <c r="BH9" s="63"/>
      <c r="BI9" s="63"/>
    </row>
    <row r="10" spans="1:61" s="6" customFormat="1" ht="18" customHeight="1">
      <c r="A10" s="237">
        <v>1</v>
      </c>
      <c r="B10" s="313" t="s">
        <v>61</v>
      </c>
      <c r="C10" s="265" t="s">
        <v>62</v>
      </c>
      <c r="D10" s="771" t="s">
        <v>63</v>
      </c>
      <c r="E10" s="977"/>
      <c r="F10" s="830" t="s">
        <v>64</v>
      </c>
      <c r="G10" s="953" t="s">
        <v>65</v>
      </c>
      <c r="H10" s="953" t="s">
        <v>66</v>
      </c>
      <c r="I10" s="830"/>
      <c r="J10" s="798"/>
      <c r="K10" s="830"/>
      <c r="L10" s="830"/>
      <c r="M10" s="830"/>
      <c r="N10" s="830"/>
      <c r="O10" s="830"/>
      <c r="P10" s="830"/>
      <c r="Q10" s="798"/>
      <c r="R10" s="830" t="s">
        <v>67</v>
      </c>
      <c r="S10" s="971" t="s">
        <v>68</v>
      </c>
      <c r="T10" s="830"/>
      <c r="U10" s="831"/>
      <c r="V10" s="832"/>
      <c r="W10" s="943" t="s">
        <v>69</v>
      </c>
      <c r="X10" s="794" t="s">
        <v>68</v>
      </c>
      <c r="Y10" s="832"/>
      <c r="Z10" s="832"/>
      <c r="AA10" s="830"/>
      <c r="AB10" s="826"/>
      <c r="AC10" s="826" t="s">
        <v>68</v>
      </c>
      <c r="AD10" s="826"/>
      <c r="AE10" s="798"/>
      <c r="AF10" s="830"/>
      <c r="AG10" s="683"/>
      <c r="AH10" s="617"/>
      <c r="AI10" s="372" cm="1">
        <f t="array" ref="AI10">SUM(COUNTIF(D10:AH10,{"DO","DO1","DO2","DO3","DO4","DO5","DO6","DO7","DO8","DO9","DO10"}))</f>
        <v>0</v>
      </c>
      <c r="AJ10" s="369"/>
      <c r="AK10" s="92"/>
      <c r="AL10" s="92"/>
      <c r="AM10" s="633"/>
      <c r="AN10" s="634"/>
      <c r="AO10" s="93">
        <v>0</v>
      </c>
      <c r="AP10" s="147">
        <v>0</v>
      </c>
      <c r="AQ10" s="94">
        <f>AO10+AP10-AI10</f>
        <v>0</v>
      </c>
      <c r="AR10" s="93">
        <v>1</v>
      </c>
      <c r="AS10" s="93">
        <v>0</v>
      </c>
      <c r="AT10" s="93" cm="1">
        <f t="array" ref="AT10">SUM(COUNTIF(D10:AH10,{"PH1","PH2","PH3","PH4","PH5","PH6","PH7","PH8","PH9","PH10","PH11","PH12","PH13","PH14","PH15","PH16","PH17"}))</f>
        <v>0</v>
      </c>
      <c r="AU10" s="635">
        <f>AR10+AS10-AT10</f>
        <v>1</v>
      </c>
      <c r="AV10" s="3"/>
      <c r="AW10" s="140"/>
      <c r="AX10" s="93"/>
      <c r="AY10" s="95"/>
      <c r="AZ10" s="96"/>
      <c r="BA10" s="93"/>
      <c r="BB10" s="95"/>
      <c r="BC10" s="97"/>
      <c r="BH10" s="63"/>
      <c r="BI10" s="63"/>
    </row>
    <row r="11" spans="1:61" s="6" customFormat="1" ht="18" customHeight="1">
      <c r="A11" s="91"/>
      <c r="B11" s="314" t="s">
        <v>47</v>
      </c>
      <c r="C11" s="614" t="s">
        <v>56</v>
      </c>
      <c r="D11" s="685" t="s">
        <v>70</v>
      </c>
      <c r="E11" s="686" t="s">
        <v>70</v>
      </c>
      <c r="F11" s="963" t="s">
        <v>71</v>
      </c>
      <c r="G11" s="774"/>
      <c r="H11" s="774"/>
      <c r="I11" s="773"/>
      <c r="J11" s="689"/>
      <c r="K11" s="963"/>
      <c r="L11" s="687"/>
      <c r="M11" s="773"/>
      <c r="N11" s="773"/>
      <c r="O11" s="773"/>
      <c r="P11" s="773"/>
      <c r="Q11" s="790"/>
      <c r="R11" s="688"/>
      <c r="S11" s="690"/>
      <c r="T11" s="791" t="s">
        <v>72</v>
      </c>
      <c r="U11" s="773" t="s">
        <v>72</v>
      </c>
      <c r="V11" s="687"/>
      <c r="W11" s="688"/>
      <c r="X11" s="691"/>
      <c r="Y11" s="688"/>
      <c r="Z11" s="688"/>
      <c r="AA11" s="774" t="s">
        <v>72</v>
      </c>
      <c r="AB11" s="773" t="s">
        <v>72</v>
      </c>
      <c r="AC11" s="773"/>
      <c r="AD11" s="774"/>
      <c r="AE11" s="692"/>
      <c r="AF11" s="773" t="s">
        <v>73</v>
      </c>
      <c r="AG11" s="773"/>
      <c r="AH11" s="519"/>
      <c r="AI11" s="209"/>
      <c r="AJ11" s="104"/>
      <c r="AK11" s="92"/>
      <c r="AL11" s="92"/>
      <c r="AM11" s="633"/>
      <c r="AN11" s="629"/>
      <c r="AO11" s="297"/>
      <c r="AP11" s="298"/>
      <c r="AQ11" s="301"/>
      <c r="AR11" s="297"/>
      <c r="AS11" s="297"/>
      <c r="AT11" s="297"/>
      <c r="AU11" s="630"/>
      <c r="AV11" s="3"/>
      <c r="AW11" s="140"/>
      <c r="AX11" s="93"/>
      <c r="AY11" s="95"/>
      <c r="AZ11" s="96"/>
      <c r="BA11" s="93"/>
      <c r="BB11" s="95"/>
      <c r="BC11" s="97"/>
      <c r="BH11" s="63"/>
      <c r="BI11" s="63"/>
    </row>
    <row r="12" spans="1:61" s="6" customFormat="1" ht="18" customHeight="1">
      <c r="A12" s="80">
        <v>2</v>
      </c>
      <c r="B12" s="316" t="s">
        <v>61</v>
      </c>
      <c r="C12" s="615" t="s">
        <v>74</v>
      </c>
      <c r="D12" s="693" t="s">
        <v>50</v>
      </c>
      <c r="E12" s="694" t="s">
        <v>51</v>
      </c>
      <c r="F12" s="775" t="s">
        <v>75</v>
      </c>
      <c r="G12" s="780" t="s">
        <v>63</v>
      </c>
      <c r="H12" s="775" t="s">
        <v>75</v>
      </c>
      <c r="I12" s="780" t="s">
        <v>63</v>
      </c>
      <c r="J12" s="789" t="s">
        <v>75</v>
      </c>
      <c r="K12" s="780" t="s">
        <v>63</v>
      </c>
      <c r="L12" s="695" t="s">
        <v>52</v>
      </c>
      <c r="M12" s="980" t="s">
        <v>69</v>
      </c>
      <c r="N12" s="775" t="s">
        <v>75</v>
      </c>
      <c r="O12" s="780" t="s">
        <v>63</v>
      </c>
      <c r="P12" s="775" t="s">
        <v>75</v>
      </c>
      <c r="Q12" s="789" t="s">
        <v>63</v>
      </c>
      <c r="R12" s="696" t="s">
        <v>53</v>
      </c>
      <c r="S12" s="697" t="s">
        <v>54</v>
      </c>
      <c r="T12" s="775" t="s">
        <v>75</v>
      </c>
      <c r="U12" s="780" t="s">
        <v>63</v>
      </c>
      <c r="V12" s="695" t="s">
        <v>55</v>
      </c>
      <c r="W12" s="780" t="s">
        <v>63</v>
      </c>
      <c r="X12" s="789" t="s">
        <v>75</v>
      </c>
      <c r="Y12" s="780" t="s">
        <v>63</v>
      </c>
      <c r="Z12" s="694" t="s">
        <v>76</v>
      </c>
      <c r="AA12" s="775" t="s">
        <v>75</v>
      </c>
      <c r="AB12" s="780" t="s">
        <v>63</v>
      </c>
      <c r="AC12" s="775" t="s">
        <v>75</v>
      </c>
      <c r="AD12" s="780" t="s">
        <v>63</v>
      </c>
      <c r="AE12" s="677" t="s">
        <v>46</v>
      </c>
      <c r="AF12" s="775" t="s">
        <v>75</v>
      </c>
      <c r="AG12" s="775" t="s">
        <v>77</v>
      </c>
      <c r="AH12" s="475"/>
      <c r="AI12" s="209" cm="1">
        <f t="array" ref="AI12">SUM(COUNTIF(D12:AH12,{"DO","DO1","DO2","DO3","DO4","DO5","DO6","DO7","DO8","DO9","DO10"}))</f>
        <v>7</v>
      </c>
      <c r="AJ12" s="104"/>
      <c r="AK12" s="92"/>
      <c r="AL12" s="92"/>
      <c r="AM12" s="633"/>
      <c r="AN12" s="631"/>
      <c r="AO12" s="214">
        <v>6</v>
      </c>
      <c r="AP12" s="215">
        <v>2</v>
      </c>
      <c r="AQ12" s="216">
        <f>AO12+AP12-AI12</f>
        <v>1</v>
      </c>
      <c r="AR12" s="214">
        <v>1</v>
      </c>
      <c r="AS12" s="214">
        <v>0</v>
      </c>
      <c r="AT12" s="214" cm="1">
        <f t="array" ref="AT12">SUM(COUNTIF(D12:AH12,{"PH1","PH2","PH3","PH4","PH5","PH6","PH7","PH8","PH9","PH10","PH11","PH12","PH13","PH14","PH15","PH16","PH17"}))</f>
        <v>1</v>
      </c>
      <c r="AU12" s="632">
        <f>AR12+AS12-AT12</f>
        <v>0</v>
      </c>
      <c r="AV12" s="3"/>
      <c r="AW12" s="140"/>
      <c r="AX12" s="93"/>
      <c r="AY12" s="95"/>
      <c r="AZ12" s="96"/>
      <c r="BA12" s="93"/>
      <c r="BB12" s="95"/>
      <c r="BC12" s="97"/>
      <c r="BH12" s="63"/>
      <c r="BI12" s="63"/>
    </row>
    <row r="13" spans="1:61" ht="18" customHeight="1">
      <c r="A13" s="91"/>
      <c r="B13" s="314" t="s">
        <v>47</v>
      </c>
      <c r="C13" s="266" t="s">
        <v>56</v>
      </c>
      <c r="D13" s="777"/>
      <c r="E13" s="778"/>
      <c r="F13" s="927" t="s">
        <v>72</v>
      </c>
      <c r="G13" s="778"/>
      <c r="H13" s="696" t="s">
        <v>70</v>
      </c>
      <c r="I13" s="698"/>
      <c r="J13" s="699" t="s">
        <v>70</v>
      </c>
      <c r="K13" s="696"/>
      <c r="L13" s="698"/>
      <c r="M13" s="698" t="s">
        <v>70</v>
      </c>
      <c r="N13" s="927" t="s">
        <v>72</v>
      </c>
      <c r="O13" s="778"/>
      <c r="P13" s="778"/>
      <c r="Q13" s="699"/>
      <c r="R13" s="700"/>
      <c r="S13" s="701"/>
      <c r="T13" s="698"/>
      <c r="U13" s="698"/>
      <c r="V13" s="696"/>
      <c r="W13" s="698" t="s">
        <v>70</v>
      </c>
      <c r="X13" s="699" t="s">
        <v>70</v>
      </c>
      <c r="Y13" s="772"/>
      <c r="Z13" s="778"/>
      <c r="AA13" s="778"/>
      <c r="AB13" s="670"/>
      <c r="AC13" s="778" t="s">
        <v>72</v>
      </c>
      <c r="AD13" s="778"/>
      <c r="AE13" s="794" t="s">
        <v>72</v>
      </c>
      <c r="AF13" s="772"/>
      <c r="AG13" s="772"/>
      <c r="AH13" s="469"/>
      <c r="AI13" s="193"/>
      <c r="AJ13" s="104"/>
      <c r="AK13" s="92"/>
      <c r="AL13" s="92"/>
      <c r="AM13" s="105"/>
      <c r="AN13" s="386"/>
      <c r="AO13" s="93"/>
      <c r="AP13" s="147"/>
      <c r="AQ13" s="94"/>
      <c r="AR13" s="93"/>
      <c r="AS13" s="186"/>
      <c r="AT13" s="93"/>
      <c r="AU13" s="190"/>
      <c r="AW13" s="140"/>
      <c r="AX13" s="93"/>
      <c r="AY13" s="95"/>
      <c r="AZ13" s="96"/>
      <c r="BA13" s="93"/>
      <c r="BB13" s="95"/>
      <c r="BC13" s="97"/>
      <c r="BG13" s="64"/>
      <c r="BH13" s="62"/>
      <c r="BI13" s="62"/>
    </row>
    <row r="14" spans="1:61" ht="18" customHeight="1">
      <c r="A14" s="80">
        <v>3</v>
      </c>
      <c r="B14" s="316" t="s">
        <v>78</v>
      </c>
      <c r="C14" s="606" t="s">
        <v>79</v>
      </c>
      <c r="D14" s="779" t="s">
        <v>75</v>
      </c>
      <c r="E14" s="775" t="s">
        <v>75</v>
      </c>
      <c r="F14" s="780" t="s">
        <v>63</v>
      </c>
      <c r="G14" s="775" t="s">
        <v>75</v>
      </c>
      <c r="H14" s="694" t="s">
        <v>50</v>
      </c>
      <c r="I14" s="695" t="s">
        <v>80</v>
      </c>
      <c r="J14" s="703" t="s">
        <v>51</v>
      </c>
      <c r="K14" s="775" t="s">
        <v>75</v>
      </c>
      <c r="L14" s="780" t="s">
        <v>63</v>
      </c>
      <c r="M14" s="695" t="s">
        <v>52</v>
      </c>
      <c r="N14" s="776" t="s">
        <v>69</v>
      </c>
      <c r="O14" s="775" t="s">
        <v>75</v>
      </c>
      <c r="P14" s="680" t="s">
        <v>81</v>
      </c>
      <c r="Q14" s="704" t="s">
        <v>82</v>
      </c>
      <c r="R14" s="705" t="s">
        <v>82</v>
      </c>
      <c r="S14" s="706" t="s">
        <v>83</v>
      </c>
      <c r="T14" s="707" t="s">
        <v>53</v>
      </c>
      <c r="U14" s="776" t="s">
        <v>69</v>
      </c>
      <c r="V14" s="775" t="s">
        <v>75</v>
      </c>
      <c r="W14" s="695" t="s">
        <v>80</v>
      </c>
      <c r="X14" s="703" t="s">
        <v>54</v>
      </c>
      <c r="Y14" s="775" t="s">
        <v>69</v>
      </c>
      <c r="Z14" s="780" t="s">
        <v>63</v>
      </c>
      <c r="AA14" s="776" t="s">
        <v>68</v>
      </c>
      <c r="AB14" s="695" t="s">
        <v>55</v>
      </c>
      <c r="AC14" s="776" t="s">
        <v>69</v>
      </c>
      <c r="AD14" s="775" t="s">
        <v>75</v>
      </c>
      <c r="AE14" s="789" t="s">
        <v>63</v>
      </c>
      <c r="AF14" s="775" t="s">
        <v>69</v>
      </c>
      <c r="AG14" s="780" t="s">
        <v>68</v>
      </c>
      <c r="AH14" s="475"/>
      <c r="AI14" s="194" cm="1">
        <f t="array" ref="AI14">SUM(COUNTIF(D14:AH14,{"DO","DO1","DO2","DO3","DO4","DO5","DO6","DO7","DO8","DO9","DO10"}))</f>
        <v>6</v>
      </c>
      <c r="AJ14" s="100"/>
      <c r="AK14" s="81"/>
      <c r="AL14" s="81"/>
      <c r="AM14" s="101"/>
      <c r="AN14" s="386"/>
      <c r="AO14" s="93">
        <v>6</v>
      </c>
      <c r="AP14" s="147">
        <v>0</v>
      </c>
      <c r="AQ14" s="94">
        <f>AO14+AP14-AI14</f>
        <v>0</v>
      </c>
      <c r="AR14" s="93">
        <v>1</v>
      </c>
      <c r="AS14" s="186">
        <v>0</v>
      </c>
      <c r="AT14" s="93" cm="1">
        <f t="array" ref="AT14">SUM(COUNTIF(D14:AH14,{"SH1","SH2","SH3","SH4","SH5","SH6","SH7","SH8","SH9","SH10","SH11","SH12","SH13","SH14"}))</f>
        <v>2</v>
      </c>
      <c r="AU14" s="190">
        <f>AR14+AS14-AT14</f>
        <v>-1</v>
      </c>
      <c r="AW14" s="140"/>
      <c r="AX14" s="93"/>
      <c r="AY14" s="95"/>
      <c r="AZ14" s="96"/>
      <c r="BA14" s="93"/>
      <c r="BB14" s="95"/>
      <c r="BC14" s="97"/>
      <c r="BG14" s="64"/>
      <c r="BH14" s="62"/>
      <c r="BI14" s="62"/>
    </row>
    <row r="15" spans="1:61" ht="18" customHeight="1">
      <c r="A15" s="91"/>
      <c r="B15" s="314"/>
      <c r="C15" s="609" t="s">
        <v>56</v>
      </c>
      <c r="D15" s="925" t="s">
        <v>84</v>
      </c>
      <c r="E15" s="926" t="s">
        <v>72</v>
      </c>
      <c r="F15" s="911"/>
      <c r="G15" s="943"/>
      <c r="H15" s="943"/>
      <c r="I15" s="944"/>
      <c r="J15" s="945"/>
      <c r="K15" s="946" t="s">
        <v>70</v>
      </c>
      <c r="L15" s="943"/>
      <c r="M15" s="943"/>
      <c r="N15" s="947"/>
      <c r="O15" s="947"/>
      <c r="P15" s="943"/>
      <c r="Q15" s="948"/>
      <c r="R15" s="949" t="s">
        <v>70</v>
      </c>
      <c r="S15" s="946"/>
      <c r="T15" s="943"/>
      <c r="U15" s="947"/>
      <c r="V15" s="948"/>
      <c r="W15" s="950"/>
      <c r="X15" s="951"/>
      <c r="Y15" s="952" t="s">
        <v>70</v>
      </c>
      <c r="Z15" s="946"/>
      <c r="AA15" s="943"/>
      <c r="AB15" s="943"/>
      <c r="AC15" s="943"/>
      <c r="AD15" s="947"/>
      <c r="AE15" s="948"/>
      <c r="AF15" s="946" t="s">
        <v>70</v>
      </c>
      <c r="AG15" s="953"/>
      <c r="AH15" s="469"/>
      <c r="AI15" s="607"/>
      <c r="AJ15" s="369"/>
      <c r="AK15" s="92"/>
      <c r="AL15" s="92"/>
      <c r="AM15" s="633"/>
      <c r="AN15" s="629"/>
      <c r="AO15" s="297"/>
      <c r="AP15" s="298"/>
      <c r="AQ15" s="301"/>
      <c r="AR15" s="297"/>
      <c r="AS15" s="641"/>
      <c r="AT15" s="93"/>
      <c r="AU15" s="643"/>
      <c r="AW15" s="140"/>
      <c r="AX15" s="93"/>
      <c r="AY15" s="95"/>
      <c r="AZ15" s="96"/>
      <c r="BA15" s="93"/>
      <c r="BB15" s="95"/>
      <c r="BC15" s="97"/>
      <c r="BG15" s="64"/>
      <c r="BH15" s="62"/>
      <c r="BI15" s="62"/>
    </row>
    <row r="16" spans="1:61" ht="18" customHeight="1">
      <c r="A16" s="80">
        <v>4</v>
      </c>
      <c r="B16" s="316" t="s">
        <v>78</v>
      </c>
      <c r="C16" s="610" t="s">
        <v>85</v>
      </c>
      <c r="D16" s="781" t="s">
        <v>68</v>
      </c>
      <c r="E16" s="775" t="s">
        <v>69</v>
      </c>
      <c r="F16" s="968" t="s">
        <v>68</v>
      </c>
      <c r="G16" s="954" t="s">
        <v>69</v>
      </c>
      <c r="H16" s="954" t="s">
        <v>68</v>
      </c>
      <c r="I16" s="955" t="s">
        <v>50</v>
      </c>
      <c r="J16" s="956" t="s">
        <v>51</v>
      </c>
      <c r="K16" s="957" t="s">
        <v>68</v>
      </c>
      <c r="L16" s="954" t="s">
        <v>69</v>
      </c>
      <c r="M16" s="954" t="s">
        <v>68</v>
      </c>
      <c r="N16" s="958" t="s">
        <v>52</v>
      </c>
      <c r="O16" s="958" t="s">
        <v>53</v>
      </c>
      <c r="P16" s="954" t="s">
        <v>69</v>
      </c>
      <c r="Q16" s="959" t="s">
        <v>69</v>
      </c>
      <c r="R16" s="960" t="s">
        <v>68</v>
      </c>
      <c r="S16" s="957" t="s">
        <v>69</v>
      </c>
      <c r="T16" s="954" t="s">
        <v>68</v>
      </c>
      <c r="U16" s="958" t="s">
        <v>54</v>
      </c>
      <c r="V16" s="959" t="s">
        <v>86</v>
      </c>
      <c r="W16" s="961" t="s">
        <v>87</v>
      </c>
      <c r="X16" s="962" t="s">
        <v>83</v>
      </c>
      <c r="Y16" s="955" t="s">
        <v>55</v>
      </c>
      <c r="Z16" s="957" t="s">
        <v>69</v>
      </c>
      <c r="AA16" s="954" t="s">
        <v>68</v>
      </c>
      <c r="AB16" s="954" t="s">
        <v>69</v>
      </c>
      <c r="AC16" s="954" t="s">
        <v>68</v>
      </c>
      <c r="AD16" s="958" t="s">
        <v>80</v>
      </c>
      <c r="AE16" s="959" t="s">
        <v>69</v>
      </c>
      <c r="AF16" s="957" t="s">
        <v>68</v>
      </c>
      <c r="AG16" s="959" t="s">
        <v>69</v>
      </c>
      <c r="AH16" s="475"/>
      <c r="AI16" s="608" cm="1">
        <f t="array" ref="AI16">SUM(COUNTIF(D16:AH16,{"DO","DO1","DO2","DO3","DO4","DO5","DO6","DO7","DO8","DO9","DO10"}))</f>
        <v>6</v>
      </c>
      <c r="AJ16" s="369"/>
      <c r="AK16" s="92"/>
      <c r="AL16" s="92"/>
      <c r="AM16" s="633"/>
      <c r="AN16" s="631"/>
      <c r="AO16" s="214">
        <v>6</v>
      </c>
      <c r="AP16" s="215">
        <v>0</v>
      </c>
      <c r="AQ16" s="216">
        <f>AO16+AP16-AI16</f>
        <v>0</v>
      </c>
      <c r="AR16" s="214">
        <v>1</v>
      </c>
      <c r="AS16" s="642">
        <v>0</v>
      </c>
      <c r="AT16" s="82" cm="1">
        <f t="array" ref="AT16">SUM(COUNTIF(D16:AH16,{"SH1","SH2","SH3","SH4","SH5","SH6","SH7","SH8","SH9","SH10","SH11","SH12","SH13","SH14"}))</f>
        <v>1</v>
      </c>
      <c r="AU16" s="644">
        <f>AR16+AS16-AT16</f>
        <v>0</v>
      </c>
      <c r="AW16" s="140"/>
      <c r="AX16" s="93"/>
      <c r="AY16" s="95"/>
      <c r="AZ16" s="96"/>
      <c r="BA16" s="93"/>
      <c r="BB16" s="95"/>
      <c r="BC16" s="97"/>
      <c r="BG16" s="64"/>
      <c r="BH16" s="62"/>
      <c r="BI16" s="62"/>
    </row>
    <row r="17" spans="1:61" ht="18" customHeight="1">
      <c r="A17" s="91"/>
      <c r="B17" s="314"/>
      <c r="C17" s="266"/>
      <c r="D17" s="481" t="s">
        <v>59</v>
      </c>
      <c r="E17" s="481" t="s">
        <v>59</v>
      </c>
      <c r="F17" s="481" t="s">
        <v>59</v>
      </c>
      <c r="G17" s="481"/>
      <c r="H17" s="481"/>
      <c r="I17" s="964" t="s">
        <v>58</v>
      </c>
      <c r="J17" s="481" t="s">
        <v>59</v>
      </c>
      <c r="K17" s="481" t="s">
        <v>59</v>
      </c>
      <c r="L17" s="481" t="s">
        <v>59</v>
      </c>
      <c r="M17" s="481" t="s">
        <v>59</v>
      </c>
      <c r="N17" s="481" t="s">
        <v>59</v>
      </c>
      <c r="O17" s="481" t="s">
        <v>59</v>
      </c>
      <c r="P17" s="481"/>
      <c r="Q17" s="485"/>
      <c r="R17" s="481" t="s">
        <v>59</v>
      </c>
      <c r="S17" s="481" t="s">
        <v>59</v>
      </c>
      <c r="T17" s="965" t="s">
        <v>58</v>
      </c>
      <c r="U17" s="481" t="s">
        <v>59</v>
      </c>
      <c r="V17" s="481" t="s">
        <v>59</v>
      </c>
      <c r="W17" s="918"/>
      <c r="X17" s="919"/>
      <c r="Y17" s="910" t="s">
        <v>59</v>
      </c>
      <c r="Z17" s="910" t="s">
        <v>59</v>
      </c>
      <c r="AA17" s="911" t="s">
        <v>58</v>
      </c>
      <c r="AB17" s="910" t="s">
        <v>59</v>
      </c>
      <c r="AC17" s="481"/>
      <c r="AD17" s="562"/>
      <c r="AE17" s="911" t="s">
        <v>58</v>
      </c>
      <c r="AF17" s="910" t="s">
        <v>59</v>
      </c>
      <c r="AG17" s="910" t="s">
        <v>59</v>
      </c>
      <c r="AH17" s="469"/>
      <c r="AI17" s="209" t="s">
        <v>88</v>
      </c>
      <c r="AJ17" s="104"/>
      <c r="AK17" s="92"/>
      <c r="AL17" s="92"/>
      <c r="AM17" s="105"/>
      <c r="AN17" s="386"/>
      <c r="AO17" s="93"/>
      <c r="AP17" s="147"/>
      <c r="AQ17" s="94"/>
      <c r="AR17" s="93"/>
      <c r="AS17" s="93"/>
      <c r="AT17" s="93"/>
      <c r="AU17" s="94"/>
      <c r="AW17" s="140"/>
      <c r="AX17" s="93"/>
      <c r="AY17" s="95"/>
      <c r="AZ17" s="96"/>
      <c r="BA17" s="93"/>
      <c r="BB17" s="95"/>
      <c r="BC17" s="97"/>
      <c r="BG17" s="64"/>
      <c r="BH17" s="62"/>
      <c r="BI17" s="62"/>
    </row>
    <row r="18" spans="1:61" ht="18" customHeight="1" thickBot="1">
      <c r="A18" s="239">
        <v>5</v>
      </c>
      <c r="B18" s="317" t="s">
        <v>78</v>
      </c>
      <c r="C18" s="893" t="s">
        <v>89</v>
      </c>
      <c r="D18" s="912" t="s">
        <v>90</v>
      </c>
      <c r="E18" s="913" t="s">
        <v>65</v>
      </c>
      <c r="F18" s="913" t="s">
        <v>67</v>
      </c>
      <c r="G18" s="914"/>
      <c r="H18" s="914"/>
      <c r="I18" s="913" t="s">
        <v>90</v>
      </c>
      <c r="J18" s="913" t="s">
        <v>65</v>
      </c>
      <c r="K18" s="912" t="s">
        <v>90</v>
      </c>
      <c r="L18" s="913" t="s">
        <v>90</v>
      </c>
      <c r="M18" s="913" t="s">
        <v>65</v>
      </c>
      <c r="N18" s="915" t="s">
        <v>65</v>
      </c>
      <c r="O18" s="913" t="s">
        <v>90</v>
      </c>
      <c r="P18" s="916"/>
      <c r="Q18" s="917"/>
      <c r="R18" s="912" t="s">
        <v>91</v>
      </c>
      <c r="S18" s="912" t="s">
        <v>68</v>
      </c>
      <c r="T18" s="912" t="s">
        <v>69</v>
      </c>
      <c r="U18" s="920" t="s">
        <v>68</v>
      </c>
      <c r="V18" s="921" t="s">
        <v>68</v>
      </c>
      <c r="W18" s="917"/>
      <c r="X18" s="922"/>
      <c r="Y18" s="912" t="s">
        <v>69</v>
      </c>
      <c r="Z18" s="913" t="s">
        <v>68</v>
      </c>
      <c r="AA18" s="913" t="s">
        <v>69</v>
      </c>
      <c r="AB18" s="913" t="s">
        <v>68</v>
      </c>
      <c r="AC18" s="923"/>
      <c r="AD18" s="924"/>
      <c r="AE18" s="913" t="s">
        <v>69</v>
      </c>
      <c r="AF18" s="915" t="s">
        <v>68</v>
      </c>
      <c r="AG18" s="913" t="s">
        <v>69</v>
      </c>
      <c r="AH18" s="491"/>
      <c r="AI18" s="390" cm="1">
        <f t="array" ref="AI18">SUM(COUNTIF(D18:AH18,{"DO","DO1","DO2","DO3","DO4","DO5","DO6","DO7","DO8","DO9","DO10"}))</f>
        <v>0</v>
      </c>
      <c r="AJ18" s="230"/>
      <c r="AK18" s="231"/>
      <c r="AL18" s="231"/>
      <c r="AM18" s="232"/>
      <c r="AN18" s="396"/>
      <c r="AO18" s="233">
        <v>6</v>
      </c>
      <c r="AP18" s="234">
        <v>0</v>
      </c>
      <c r="AQ18" s="235">
        <f>AO18+AP18-AI18</f>
        <v>6</v>
      </c>
      <c r="AR18" s="233">
        <v>1</v>
      </c>
      <c r="AS18" s="233">
        <v>0</v>
      </c>
      <c r="AT18" s="233" cm="1">
        <f t="array" ref="AT18">SUM(COUNTIF(D18:AH18,{"SH1","SH2","SH3","SH4","SH5","SH6","SH7","SH8","SH9","SH10","SH11","SH12","SH13","SH14"}))</f>
        <v>0</v>
      </c>
      <c r="AU18" s="235">
        <f>AR18+AS18-AT18</f>
        <v>1</v>
      </c>
      <c r="AW18" s="142"/>
      <c r="AX18" s="82"/>
      <c r="AY18" s="84"/>
      <c r="AZ18" s="85"/>
      <c r="BA18" s="82"/>
      <c r="BB18" s="84"/>
      <c r="BC18" s="86"/>
      <c r="BG18" s="64"/>
      <c r="BH18" s="62"/>
      <c r="BI18" s="62"/>
    </row>
    <row r="19" spans="1:61" ht="18" customHeight="1" thickTop="1">
      <c r="A19" s="91"/>
      <c r="B19" s="318" t="s">
        <v>47</v>
      </c>
      <c r="C19" s="267" t="s">
        <v>92</v>
      </c>
      <c r="D19" s="777"/>
      <c r="E19" s="782"/>
      <c r="F19" s="710" t="s">
        <v>70</v>
      </c>
      <c r="G19" s="711"/>
      <c r="H19" s="698"/>
      <c r="I19" s="696"/>
      <c r="J19" s="712" t="s">
        <v>70</v>
      </c>
      <c r="K19" s="772"/>
      <c r="L19" s="772"/>
      <c r="M19" s="929"/>
      <c r="N19" s="778"/>
      <c r="O19" s="782" t="s">
        <v>72</v>
      </c>
      <c r="P19" s="710" t="s">
        <v>70</v>
      </c>
      <c r="Q19" s="811"/>
      <c r="R19" s="802"/>
      <c r="S19" s="802"/>
      <c r="T19" s="710" t="s">
        <v>93</v>
      </c>
      <c r="U19" s="710"/>
      <c r="V19" s="710"/>
      <c r="W19" s="710"/>
      <c r="X19" s="714" t="s">
        <v>70</v>
      </c>
      <c r="Y19" s="772"/>
      <c r="Z19" s="772"/>
      <c r="AA19" s="711" t="s">
        <v>70</v>
      </c>
      <c r="AB19" s="772"/>
      <c r="AC19" s="786"/>
      <c r="AD19" s="778" t="s">
        <v>72</v>
      </c>
      <c r="AE19" s="715" t="s">
        <v>70</v>
      </c>
      <c r="AF19" s="667"/>
      <c r="AG19" s="646"/>
      <c r="AH19" s="469"/>
      <c r="AI19" s="209"/>
      <c r="AJ19" s="104"/>
      <c r="AK19" s="92"/>
      <c r="AL19" s="92"/>
      <c r="AM19" s="105"/>
      <c r="AN19" s="386"/>
      <c r="AO19" s="93"/>
      <c r="AP19" s="147"/>
      <c r="AQ19" s="94"/>
      <c r="AR19" s="93"/>
      <c r="AS19" s="93"/>
      <c r="AT19" s="93"/>
      <c r="AU19" s="94"/>
      <c r="AW19" s="140"/>
      <c r="AX19" s="93"/>
      <c r="AY19" s="95"/>
      <c r="AZ19" s="96"/>
      <c r="BA19" s="93"/>
      <c r="BB19" s="95"/>
      <c r="BC19" s="97"/>
      <c r="BG19" s="64"/>
      <c r="BH19" s="62"/>
      <c r="BI19" s="62"/>
    </row>
    <row r="20" spans="1:61" ht="18" customHeight="1">
      <c r="A20" s="237">
        <v>1</v>
      </c>
      <c r="B20" s="313" t="s">
        <v>61</v>
      </c>
      <c r="C20" s="268" t="s">
        <v>94</v>
      </c>
      <c r="D20" s="783" t="s">
        <v>69</v>
      </c>
      <c r="E20" s="782" t="s">
        <v>68</v>
      </c>
      <c r="F20" s="710" t="s">
        <v>50</v>
      </c>
      <c r="G20" s="786" t="s">
        <v>69</v>
      </c>
      <c r="H20" s="780" t="s">
        <v>63</v>
      </c>
      <c r="I20" s="674" t="s">
        <v>46</v>
      </c>
      <c r="J20" s="712" t="s">
        <v>51</v>
      </c>
      <c r="K20" s="680" t="s">
        <v>69</v>
      </c>
      <c r="L20" s="680" t="s">
        <v>68</v>
      </c>
      <c r="M20" s="680" t="s">
        <v>75</v>
      </c>
      <c r="N20" s="780" t="s">
        <v>63</v>
      </c>
      <c r="O20" s="680" t="s">
        <v>68</v>
      </c>
      <c r="P20" s="674" t="s">
        <v>52</v>
      </c>
      <c r="Q20" s="789" t="s">
        <v>75</v>
      </c>
      <c r="R20" s="812" t="s">
        <v>63</v>
      </c>
      <c r="S20" s="775" t="s">
        <v>75</v>
      </c>
      <c r="T20" s="813" t="s">
        <v>95</v>
      </c>
      <c r="U20" s="716" t="s">
        <v>53</v>
      </c>
      <c r="V20" s="716" t="s">
        <v>96</v>
      </c>
      <c r="W20" s="716" t="s">
        <v>96</v>
      </c>
      <c r="X20" s="717" t="s">
        <v>96</v>
      </c>
      <c r="Y20" s="775" t="s">
        <v>75</v>
      </c>
      <c r="Z20" s="680" t="s">
        <v>68</v>
      </c>
      <c r="AA20" s="707" t="s">
        <v>54</v>
      </c>
      <c r="AB20" s="775" t="s">
        <v>75</v>
      </c>
      <c r="AC20" s="780" t="s">
        <v>63</v>
      </c>
      <c r="AD20" s="678" t="s">
        <v>68</v>
      </c>
      <c r="AE20" s="718" t="s">
        <v>55</v>
      </c>
      <c r="AF20" s="778" t="s">
        <v>69</v>
      </c>
      <c r="AG20" s="780" t="s">
        <v>68</v>
      </c>
      <c r="AH20" s="475"/>
      <c r="AI20" s="198" cm="1">
        <f t="array" ref="AI20">SUM(COUNTIF(D20:AH20,{"DO","DO1","DO2","DO3","DO4","DO5","DO6","DO7","DO8","DO9","DO10"}))</f>
        <v>6</v>
      </c>
      <c r="AJ20" s="100"/>
      <c r="AK20" s="81"/>
      <c r="AL20" s="81"/>
      <c r="AM20" s="101"/>
      <c r="AN20" s="393"/>
      <c r="AO20" s="82">
        <v>6</v>
      </c>
      <c r="AP20" s="174">
        <v>0</v>
      </c>
      <c r="AQ20" s="83">
        <f>AO20+AP20-AI20</f>
        <v>0</v>
      </c>
      <c r="AR20" s="82">
        <v>1</v>
      </c>
      <c r="AS20" s="82">
        <v>0</v>
      </c>
      <c r="AT20" s="93" cm="1">
        <f t="array" ref="AT20">SUM(COUNTIF(D20:AH20,{"PH1","PH2","PH3","PH4","PH5","PH6","PH7","PH8","PH9","PH10","PH11","PH12","PH13","PH14","PH15","PH16","PH17"}))</f>
        <v>1</v>
      </c>
      <c r="AU20" s="83">
        <f>AR20+AS20-AT20</f>
        <v>0</v>
      </c>
      <c r="AW20" s="140"/>
      <c r="AX20" s="93"/>
      <c r="AY20" s="95"/>
      <c r="AZ20" s="96"/>
      <c r="BA20" s="93"/>
      <c r="BB20" s="95"/>
      <c r="BC20" s="97"/>
      <c r="BG20" s="64"/>
      <c r="BH20" s="62"/>
      <c r="BI20" s="62"/>
    </row>
    <row r="21" spans="1:61" ht="18" customHeight="1">
      <c r="A21" s="91"/>
      <c r="B21" s="318" t="s">
        <v>47</v>
      </c>
      <c r="C21" s="266" t="s">
        <v>97</v>
      </c>
      <c r="D21" s="667"/>
      <c r="E21" s="681"/>
      <c r="F21" s="681"/>
      <c r="G21" s="681"/>
      <c r="H21" s="670"/>
      <c r="I21" s="772" t="s">
        <v>56</v>
      </c>
      <c r="J21" s="796" t="s">
        <v>56</v>
      </c>
      <c r="K21" s="719" t="s">
        <v>70</v>
      </c>
      <c r="L21" s="983" t="s">
        <v>56</v>
      </c>
      <c r="M21" s="799" t="s">
        <v>56</v>
      </c>
      <c r="N21" s="964" t="s">
        <v>56</v>
      </c>
      <c r="O21" s="681"/>
      <c r="P21" s="799"/>
      <c r="Q21" s="808"/>
      <c r="R21" s="979" t="s">
        <v>56</v>
      </c>
      <c r="S21" s="681"/>
      <c r="T21" s="799"/>
      <c r="U21" s="777"/>
      <c r="V21" s="797"/>
      <c r="W21" s="786"/>
      <c r="X21" s="805" t="s">
        <v>72</v>
      </c>
      <c r="Y21" s="797" t="s">
        <v>72</v>
      </c>
      <c r="Z21" s="645"/>
      <c r="AA21" s="645"/>
      <c r="AB21" s="772" t="s">
        <v>72</v>
      </c>
      <c r="AC21" s="786"/>
      <c r="AD21" s="778"/>
      <c r="AE21" s="702"/>
      <c r="AF21" s="709"/>
      <c r="AG21" s="708"/>
      <c r="AH21" s="476"/>
      <c r="AI21" s="209"/>
      <c r="AJ21" s="104"/>
      <c r="AK21" s="92"/>
      <c r="AL21" s="92"/>
      <c r="AM21" s="105"/>
      <c r="AN21" s="386"/>
      <c r="AO21" s="93"/>
      <c r="AP21" s="147"/>
      <c r="AQ21" s="94"/>
      <c r="AR21" s="93"/>
      <c r="AS21" s="186"/>
      <c r="AT21" s="93"/>
      <c r="AU21" s="190"/>
      <c r="AW21" s="140"/>
      <c r="AX21" s="93"/>
      <c r="AY21" s="95"/>
      <c r="AZ21" s="96"/>
      <c r="BA21" s="93"/>
      <c r="BB21" s="95"/>
      <c r="BC21" s="97"/>
      <c r="BG21" s="64"/>
      <c r="BH21" s="62"/>
      <c r="BI21" s="62"/>
    </row>
    <row r="22" spans="1:61" ht="18" customHeight="1">
      <c r="A22" s="91">
        <v>2</v>
      </c>
      <c r="B22" s="318" t="s">
        <v>98</v>
      </c>
      <c r="C22" s="268" t="s">
        <v>99</v>
      </c>
      <c r="D22" s="720" t="s">
        <v>77</v>
      </c>
      <c r="E22" s="706" t="s">
        <v>82</v>
      </c>
      <c r="F22" s="721" t="s">
        <v>83</v>
      </c>
      <c r="G22" s="694" t="s">
        <v>50</v>
      </c>
      <c r="H22" s="675" t="s">
        <v>80</v>
      </c>
      <c r="I22" s="775" t="s">
        <v>75</v>
      </c>
      <c r="J22" s="676" t="s">
        <v>63</v>
      </c>
      <c r="K22" s="674" t="s">
        <v>51</v>
      </c>
      <c r="L22" s="775" t="s">
        <v>75</v>
      </c>
      <c r="M22" s="981" t="s">
        <v>68</v>
      </c>
      <c r="N22" s="680" t="s">
        <v>68</v>
      </c>
      <c r="O22" s="694" t="s">
        <v>52</v>
      </c>
      <c r="P22" s="800" t="s">
        <v>69</v>
      </c>
      <c r="Q22" s="809" t="s">
        <v>68</v>
      </c>
      <c r="R22" s="810" t="s">
        <v>68</v>
      </c>
      <c r="S22" s="694" t="s">
        <v>53</v>
      </c>
      <c r="T22" s="800" t="s">
        <v>100</v>
      </c>
      <c r="U22" s="783" t="s">
        <v>68</v>
      </c>
      <c r="V22" s="775" t="s">
        <v>69</v>
      </c>
      <c r="W22" s="800" t="s">
        <v>68</v>
      </c>
      <c r="X22" s="814" t="s">
        <v>69</v>
      </c>
      <c r="Y22" s="775" t="s">
        <v>68</v>
      </c>
      <c r="Z22" s="674" t="s">
        <v>54</v>
      </c>
      <c r="AA22" s="780" t="s">
        <v>63</v>
      </c>
      <c r="AB22" s="680" t="s">
        <v>69</v>
      </c>
      <c r="AC22" s="800" t="s">
        <v>69</v>
      </c>
      <c r="AD22" s="678" t="s">
        <v>68</v>
      </c>
      <c r="AE22" s="789" t="s">
        <v>75</v>
      </c>
      <c r="AF22" s="780" t="s">
        <v>63</v>
      </c>
      <c r="AG22" s="775" t="s">
        <v>55</v>
      </c>
      <c r="AH22" s="469"/>
      <c r="AI22" s="198" cm="1">
        <f t="array" ref="AI22">SUM(COUNTIF(D22:AH22,{"DO","DO1","DO2","DO3","DO4","DO5","DO6","DO7","DO8","DO9","DO10"}))</f>
        <v>6</v>
      </c>
      <c r="AJ22" s="100"/>
      <c r="AK22" s="81"/>
      <c r="AL22" s="81"/>
      <c r="AM22" s="101"/>
      <c r="AN22" s="393"/>
      <c r="AO22" s="82">
        <v>6</v>
      </c>
      <c r="AP22" s="174">
        <v>0</v>
      </c>
      <c r="AQ22" s="83">
        <f>AO22+AP22-AI22</f>
        <v>0</v>
      </c>
      <c r="AR22" s="82">
        <v>1</v>
      </c>
      <c r="AS22" s="187">
        <v>0</v>
      </c>
      <c r="AT22" s="93" cm="1">
        <f t="array" ref="AT22">SUM(COUNTIF(D22:AH22,{"SH1","SH2","SH3","SH4","SH5","SH6","SH7","SH8","SH9","SH10","SH11","SH12","SH13","SH14"}))</f>
        <v>1</v>
      </c>
      <c r="AU22" s="183">
        <f>AR22+AS22-AT22</f>
        <v>0</v>
      </c>
      <c r="AW22" s="140"/>
      <c r="AX22" s="93"/>
      <c r="AY22" s="95"/>
      <c r="AZ22" s="96"/>
      <c r="BA22" s="93"/>
      <c r="BB22" s="95"/>
      <c r="BC22" s="97"/>
      <c r="BG22" s="64"/>
      <c r="BH22" s="62"/>
      <c r="BI22" s="62"/>
    </row>
    <row r="23" spans="1:61" ht="18" customHeight="1">
      <c r="A23" s="331"/>
      <c r="B23" s="319" t="s">
        <v>47</v>
      </c>
      <c r="C23" s="269" t="s">
        <v>92</v>
      </c>
      <c r="D23" s="667" t="s">
        <v>70</v>
      </c>
      <c r="E23" s="681" t="s">
        <v>70</v>
      </c>
      <c r="F23" s="785"/>
      <c r="G23" s="786"/>
      <c r="H23" s="928" t="s">
        <v>72</v>
      </c>
      <c r="I23" s="910"/>
      <c r="J23" s="966"/>
      <c r="K23" s="646"/>
      <c r="L23" s="646"/>
      <c r="M23" s="645"/>
      <c r="N23" s="723"/>
      <c r="O23" s="804"/>
      <c r="P23" s="931"/>
      <c r="Q23" s="932" t="s">
        <v>72</v>
      </c>
      <c r="R23" s="772"/>
      <c r="S23" s="777"/>
      <c r="T23" s="725"/>
      <c r="U23" s="785" t="s">
        <v>72</v>
      </c>
      <c r="V23" s="777" t="s">
        <v>72</v>
      </c>
      <c r="W23" s="815" t="s">
        <v>72</v>
      </c>
      <c r="X23" s="816"/>
      <c r="Y23" s="817"/>
      <c r="Z23" s="797" t="s">
        <v>72</v>
      </c>
      <c r="AA23" s="786" t="s">
        <v>72</v>
      </c>
      <c r="AB23" s="646"/>
      <c r="AC23" s="645"/>
      <c r="AD23" s="778"/>
      <c r="AE23" s="794"/>
      <c r="AF23" s="821" t="s">
        <v>72</v>
      </c>
      <c r="AG23" s="797" t="s">
        <v>72</v>
      </c>
      <c r="AH23" s="476"/>
      <c r="AI23" s="209"/>
      <c r="AJ23" s="104"/>
      <c r="AK23" s="92"/>
      <c r="AL23" s="92"/>
      <c r="AM23" s="105"/>
      <c r="AN23" s="386"/>
      <c r="AO23" s="93"/>
      <c r="AP23" s="147"/>
      <c r="AQ23" s="94"/>
      <c r="AR23" s="93"/>
      <c r="AS23" s="186"/>
      <c r="AT23" s="93"/>
      <c r="AU23" s="190"/>
      <c r="AW23" s="140"/>
      <c r="AX23" s="93"/>
      <c r="AY23" s="95"/>
      <c r="AZ23" s="96"/>
      <c r="BA23" s="93"/>
      <c r="BB23" s="95"/>
      <c r="BC23" s="97"/>
      <c r="BG23" s="64"/>
      <c r="BH23" s="62"/>
      <c r="BI23" s="62"/>
    </row>
    <row r="24" spans="1:61" ht="18" customHeight="1">
      <c r="A24" s="91">
        <v>3</v>
      </c>
      <c r="B24" s="318" t="s">
        <v>78</v>
      </c>
      <c r="C24" s="270" t="s">
        <v>101</v>
      </c>
      <c r="D24" s="726" t="s">
        <v>50</v>
      </c>
      <c r="E24" s="694" t="s">
        <v>51</v>
      </c>
      <c r="F24" s="780" t="s">
        <v>68</v>
      </c>
      <c r="G24" s="787" t="s">
        <v>68</v>
      </c>
      <c r="H24" s="788" t="s">
        <v>69</v>
      </c>
      <c r="I24" s="775" t="s">
        <v>69</v>
      </c>
      <c r="J24" s="967" t="s">
        <v>77</v>
      </c>
      <c r="K24" s="706" t="s">
        <v>82</v>
      </c>
      <c r="L24" s="706" t="s">
        <v>83</v>
      </c>
      <c r="M24" s="727" t="s">
        <v>52</v>
      </c>
      <c r="N24" s="728" t="s">
        <v>53</v>
      </c>
      <c r="O24" s="680" t="s">
        <v>69</v>
      </c>
      <c r="P24" s="787" t="s">
        <v>68</v>
      </c>
      <c r="Q24" s="806" t="s">
        <v>68</v>
      </c>
      <c r="R24" s="775" t="s">
        <v>75</v>
      </c>
      <c r="S24" s="780" t="s">
        <v>63</v>
      </c>
      <c r="T24" s="729" t="s">
        <v>54</v>
      </c>
      <c r="U24" s="775" t="s">
        <v>75</v>
      </c>
      <c r="V24" s="779" t="s">
        <v>69</v>
      </c>
      <c r="W24" s="807" t="s">
        <v>68</v>
      </c>
      <c r="X24" s="806" t="s">
        <v>69</v>
      </c>
      <c r="Y24" s="788" t="s">
        <v>68</v>
      </c>
      <c r="Z24" s="818" t="s">
        <v>75</v>
      </c>
      <c r="AA24" s="787" t="s">
        <v>68</v>
      </c>
      <c r="AB24" s="730" t="s">
        <v>55</v>
      </c>
      <c r="AC24" s="727" t="s">
        <v>80</v>
      </c>
      <c r="AD24" s="807" t="s">
        <v>69</v>
      </c>
      <c r="AE24" s="822" t="s">
        <v>68</v>
      </c>
      <c r="AF24" s="776" t="s">
        <v>69</v>
      </c>
      <c r="AG24" s="775" t="s">
        <v>68</v>
      </c>
      <c r="AH24" s="475"/>
      <c r="AI24" s="220" cm="1">
        <f t="array" ref="AI24">SUM(COUNTIF(D24:AH24,{"DO","DO1","DO2","DO3","DO4","DO5","DO6","DO7","DO8","DO9","DO10"}))</f>
        <v>6</v>
      </c>
      <c r="AJ24" s="221"/>
      <c r="AK24" s="222"/>
      <c r="AL24" s="222"/>
      <c r="AM24" s="223"/>
      <c r="AN24" s="397"/>
      <c r="AO24" s="224">
        <v>6</v>
      </c>
      <c r="AP24" s="225">
        <v>0</v>
      </c>
      <c r="AQ24" s="226">
        <f>AO24+AP24-AI24</f>
        <v>0</v>
      </c>
      <c r="AR24" s="224">
        <v>1</v>
      </c>
      <c r="AS24" s="639">
        <v>0</v>
      </c>
      <c r="AT24" s="93" cm="1">
        <f t="array" ref="AT24">SUM(COUNTIF(D24:AH24,{"SH1","SH2","SH3","SH4","SH5","SH6","SH7","SH8","SH9","SH10","SH11","SH12","SH13","SH14"}))</f>
        <v>1</v>
      </c>
      <c r="AU24" s="640">
        <f>AR24+AS24-AT24</f>
        <v>0</v>
      </c>
      <c r="AW24" s="140"/>
      <c r="AX24" s="93"/>
      <c r="AY24" s="95"/>
      <c r="AZ24" s="96"/>
      <c r="BA24" s="93"/>
      <c r="BB24" s="95"/>
      <c r="BC24" s="97"/>
      <c r="BG24" s="64"/>
      <c r="BH24" s="62"/>
      <c r="BI24" s="62"/>
    </row>
    <row r="25" spans="1:61" ht="18" customHeight="1">
      <c r="A25" s="332"/>
      <c r="B25" s="320"/>
      <c r="C25" s="626" t="s">
        <v>92</v>
      </c>
      <c r="D25" s="731"/>
      <c r="E25" s="713"/>
      <c r="F25" s="713" t="s">
        <v>70</v>
      </c>
      <c r="G25" s="645" t="s">
        <v>70</v>
      </c>
      <c r="H25" s="670"/>
      <c r="I25" s="670"/>
      <c r="J25" s="684"/>
      <c r="K25" s="646"/>
      <c r="L25" s="978"/>
      <c r="M25" s="929"/>
      <c r="N25" s="782"/>
      <c r="O25" s="802"/>
      <c r="P25" s="930" t="s">
        <v>72</v>
      </c>
      <c r="Q25" s="732" t="s">
        <v>70</v>
      </c>
      <c r="R25" s="645" t="s">
        <v>70</v>
      </c>
      <c r="S25" s="802" t="s">
        <v>72</v>
      </c>
      <c r="T25" s="802"/>
      <c r="U25" s="802"/>
      <c r="V25" s="777"/>
      <c r="W25" s="772"/>
      <c r="X25" s="805"/>
      <c r="Y25" s="646"/>
      <c r="Z25" s="646"/>
      <c r="AA25" s="645"/>
      <c r="AB25" s="645"/>
      <c r="AC25" s="645"/>
      <c r="AD25" s="670"/>
      <c r="AE25" s="734"/>
      <c r="AF25" s="735"/>
      <c r="AG25" s="736"/>
      <c r="AH25" s="499"/>
      <c r="AI25" s="209"/>
      <c r="AJ25" s="104"/>
      <c r="AK25" s="92"/>
      <c r="AL25" s="92"/>
      <c r="AM25" s="105"/>
      <c r="AN25" s="386"/>
      <c r="AO25" s="93"/>
      <c r="AP25" s="147"/>
      <c r="AQ25" s="94"/>
      <c r="AR25" s="93"/>
      <c r="AS25" s="186"/>
      <c r="AT25" s="93"/>
      <c r="AU25" s="190"/>
      <c r="AW25" s="140"/>
      <c r="AX25" s="93"/>
      <c r="AY25" s="95"/>
      <c r="AZ25" s="96"/>
      <c r="BA25" s="93"/>
      <c r="BB25" s="95"/>
      <c r="BC25" s="97"/>
      <c r="BG25" s="64"/>
      <c r="BH25" s="62"/>
      <c r="BI25" s="62"/>
    </row>
    <row r="26" spans="1:61" ht="18" customHeight="1">
      <c r="A26" s="237">
        <v>4</v>
      </c>
      <c r="B26" s="321" t="s">
        <v>78</v>
      </c>
      <c r="C26" s="627" t="s">
        <v>102</v>
      </c>
      <c r="D26" s="737" t="s">
        <v>83</v>
      </c>
      <c r="E26" s="784" t="s">
        <v>69</v>
      </c>
      <c r="F26" s="738" t="s">
        <v>50</v>
      </c>
      <c r="G26" s="697" t="s">
        <v>51</v>
      </c>
      <c r="H26" s="776" t="s">
        <v>69</v>
      </c>
      <c r="I26" s="776" t="s">
        <v>68</v>
      </c>
      <c r="J26" s="676" t="s">
        <v>69</v>
      </c>
      <c r="K26" s="775" t="s">
        <v>68</v>
      </c>
      <c r="L26" s="980" t="s">
        <v>69</v>
      </c>
      <c r="M26" s="982" t="s">
        <v>68</v>
      </c>
      <c r="N26" s="803" t="s">
        <v>69</v>
      </c>
      <c r="O26" s="784" t="s">
        <v>68</v>
      </c>
      <c r="P26" s="784" t="s">
        <v>68</v>
      </c>
      <c r="Q26" s="739" t="s">
        <v>52</v>
      </c>
      <c r="R26" s="697" t="s">
        <v>80</v>
      </c>
      <c r="S26" s="775" t="s">
        <v>69</v>
      </c>
      <c r="T26" s="784" t="s">
        <v>68</v>
      </c>
      <c r="U26" s="784" t="s">
        <v>69</v>
      </c>
      <c r="V26" s="795" t="s">
        <v>68</v>
      </c>
      <c r="W26" s="775" t="s">
        <v>69</v>
      </c>
      <c r="X26" s="793" t="s">
        <v>68</v>
      </c>
      <c r="Y26" s="694" t="s">
        <v>53</v>
      </c>
      <c r="Z26" s="775" t="s">
        <v>69</v>
      </c>
      <c r="AA26" s="792" t="s">
        <v>69</v>
      </c>
      <c r="AB26" s="740" t="s">
        <v>86</v>
      </c>
      <c r="AC26" s="740" t="s">
        <v>87</v>
      </c>
      <c r="AD26" s="741" t="s">
        <v>87</v>
      </c>
      <c r="AE26" s="742" t="s">
        <v>83</v>
      </c>
      <c r="AF26" s="743" t="s">
        <v>54</v>
      </c>
      <c r="AG26" s="775" t="s">
        <v>69</v>
      </c>
      <c r="AH26" s="475"/>
      <c r="AI26" s="227" cm="1">
        <f t="array" ref="AI26">SUM(COUNTIF(D26:AH26,{"DO","DO1","DO2","DO3","DO4","DO5","DO6","DO7","DO8","DO9","DO10"}))</f>
        <v>5</v>
      </c>
      <c r="AJ26" s="104"/>
      <c r="AK26" s="92"/>
      <c r="AL26" s="92"/>
      <c r="AM26" s="105"/>
      <c r="AN26" s="386"/>
      <c r="AO26" s="214">
        <v>6</v>
      </c>
      <c r="AP26" s="215">
        <v>-1</v>
      </c>
      <c r="AQ26" s="83">
        <f>AO26+AP26-AI26</f>
        <v>0</v>
      </c>
      <c r="AR26" s="82">
        <v>1</v>
      </c>
      <c r="AS26" s="187">
        <v>0</v>
      </c>
      <c r="AT26" s="82" cm="1">
        <f t="array" ref="AT26">SUM(COUNTIF(D26:AH26,{"SH1","SH2","SH3","SH4","SH5","SH6","SH7","SH8","SH9","SH10","SH11","SH12","SH13","SH14"}))</f>
        <v>1</v>
      </c>
      <c r="AU26" s="183">
        <f>AR26+AS26-AT26</f>
        <v>0</v>
      </c>
      <c r="AW26" s="140"/>
      <c r="AX26" s="93"/>
      <c r="AY26" s="95"/>
      <c r="AZ26" s="96"/>
      <c r="BA26" s="93"/>
      <c r="BB26" s="95"/>
      <c r="BC26" s="97"/>
      <c r="BG26" s="64"/>
      <c r="BH26" s="62"/>
      <c r="BI26" s="62"/>
    </row>
    <row r="27" spans="1:61" ht="18" customHeight="1">
      <c r="A27" s="91"/>
      <c r="B27" s="322"/>
      <c r="C27" s="271"/>
      <c r="D27" s="744"/>
      <c r="E27" s="745"/>
      <c r="F27" s="646"/>
      <c r="G27" s="646"/>
      <c r="H27" s="778"/>
      <c r="I27" s="927" t="s">
        <v>72</v>
      </c>
      <c r="J27" s="926" t="s">
        <v>72</v>
      </c>
      <c r="K27" s="772"/>
      <c r="L27" s="646"/>
      <c r="M27" s="645"/>
      <c r="N27" s="670"/>
      <c r="O27" s="746"/>
      <c r="P27" s="645" t="s">
        <v>103</v>
      </c>
      <c r="Q27" s="805" t="s">
        <v>72</v>
      </c>
      <c r="R27" s="746"/>
      <c r="S27" s="786"/>
      <c r="T27" s="777"/>
      <c r="U27" s="819"/>
      <c r="V27" s="777"/>
      <c r="W27" s="797" t="s">
        <v>56</v>
      </c>
      <c r="X27" s="805" t="s">
        <v>56</v>
      </c>
      <c r="Y27" s="670"/>
      <c r="Z27" s="681"/>
      <c r="AA27" s="645"/>
      <c r="AB27" s="646"/>
      <c r="AC27" s="645"/>
      <c r="AD27" s="778" t="s">
        <v>72</v>
      </c>
      <c r="AE27" s="798" t="s">
        <v>56</v>
      </c>
      <c r="AF27" s="645"/>
      <c r="AG27" s="645"/>
      <c r="AH27" s="468"/>
      <c r="AI27" s="209"/>
      <c r="AJ27" s="104"/>
      <c r="AK27" s="92"/>
      <c r="AL27" s="92"/>
      <c r="AM27" s="105"/>
      <c r="AN27" s="386"/>
      <c r="AO27" s="93"/>
      <c r="AP27" s="147"/>
      <c r="AQ27" s="94"/>
      <c r="AR27" s="93"/>
      <c r="AS27" s="186"/>
      <c r="AT27" s="93"/>
      <c r="AU27" s="190"/>
      <c r="AW27" s="140"/>
      <c r="AX27" s="93"/>
      <c r="AY27" s="95"/>
      <c r="AZ27" s="96"/>
      <c r="BA27" s="93"/>
      <c r="BB27" s="95"/>
      <c r="BC27" s="97"/>
      <c r="BG27" s="64"/>
      <c r="BH27" s="62"/>
      <c r="BI27" s="62"/>
    </row>
    <row r="28" spans="1:61" ht="18" customHeight="1">
      <c r="A28" s="237"/>
      <c r="B28" s="240" t="s">
        <v>104</v>
      </c>
      <c r="C28" s="272" t="s">
        <v>105</v>
      </c>
      <c r="D28" s="747"/>
      <c r="E28" s="740"/>
      <c r="F28" s="740"/>
      <c r="G28" s="672"/>
      <c r="H28" s="678"/>
      <c r="I28" s="778" t="s">
        <v>68</v>
      </c>
      <c r="J28" s="801" t="s">
        <v>69</v>
      </c>
      <c r="K28" s="772"/>
      <c r="L28" s="672"/>
      <c r="M28" s="740"/>
      <c r="N28" s="741"/>
      <c r="O28" s="748"/>
      <c r="P28" s="740"/>
      <c r="Q28" s="814" t="s">
        <v>69</v>
      </c>
      <c r="R28" s="748"/>
      <c r="S28" s="800"/>
      <c r="T28" s="783"/>
      <c r="U28" s="820"/>
      <c r="V28" s="777"/>
      <c r="W28" s="775" t="s">
        <v>69</v>
      </c>
      <c r="X28" s="814" t="s">
        <v>68</v>
      </c>
      <c r="Y28" s="670"/>
      <c r="Z28" s="706"/>
      <c r="AA28" s="740"/>
      <c r="AB28" s="672"/>
      <c r="AC28" s="740"/>
      <c r="AD28" s="678" t="s">
        <v>69</v>
      </c>
      <c r="AE28" s="801" t="s">
        <v>68</v>
      </c>
      <c r="AF28" s="740"/>
      <c r="AG28" s="740"/>
      <c r="AH28" s="480"/>
      <c r="AI28" s="227" cm="1">
        <f t="array" ref="AI28">SUM(COUNTIF(D28:AH28,{"DO","DO1","DO2","DO3","DO4","DO5","DO6","DO7","DO8","DO9","DO10"}))</f>
        <v>0</v>
      </c>
      <c r="AJ28" s="211"/>
      <c r="AK28" s="212"/>
      <c r="AL28" s="212"/>
      <c r="AM28" s="213"/>
      <c r="AN28" s="394"/>
      <c r="AO28" s="214">
        <v>0</v>
      </c>
      <c r="AP28" s="215">
        <v>0</v>
      </c>
      <c r="AQ28" s="83">
        <f>AO28+AP28-AI28</f>
        <v>0</v>
      </c>
      <c r="AR28" s="82">
        <v>0</v>
      </c>
      <c r="AS28" s="187">
        <v>0</v>
      </c>
      <c r="AT28" s="82" cm="1">
        <f t="array" ref="AT28">SUM(COUNTIF(D28:AH28,{"SH1","SH2","SH3","SH4","SH5","SH6","SH7","SH8","SH9","SH10","SH11","SH12","SH13","SH14"}))</f>
        <v>0</v>
      </c>
      <c r="AU28" s="183">
        <f>AR28+AS28-AT28</f>
        <v>0</v>
      </c>
      <c r="AW28" s="140"/>
      <c r="AX28" s="93"/>
      <c r="AY28" s="95"/>
      <c r="AZ28" s="96"/>
      <c r="BA28" s="93"/>
      <c r="BB28" s="95"/>
      <c r="BC28" s="97"/>
      <c r="BG28" s="64"/>
      <c r="BH28" s="62"/>
      <c r="BI28" s="62"/>
    </row>
    <row r="29" spans="1:61" ht="18" customHeight="1">
      <c r="A29" s="91"/>
      <c r="B29" s="323" t="s">
        <v>106</v>
      </c>
      <c r="C29" s="271"/>
      <c r="D29" s="744"/>
      <c r="E29" s="645"/>
      <c r="F29" s="724"/>
      <c r="G29" s="724"/>
      <c r="H29" s="723"/>
      <c r="I29" s="749"/>
      <c r="J29" s="722"/>
      <c r="K29" s="749"/>
      <c r="L29" s="749"/>
      <c r="M29" s="724"/>
      <c r="N29" s="723"/>
      <c r="O29" s="750"/>
      <c r="P29" s="724"/>
      <c r="Q29" s="751"/>
      <c r="R29" s="750"/>
      <c r="S29" s="752"/>
      <c r="T29" s="753"/>
      <c r="U29" s="754"/>
      <c r="V29" s="749"/>
      <c r="W29" s="724"/>
      <c r="X29" s="751"/>
      <c r="Y29" s="749"/>
      <c r="Z29" s="752"/>
      <c r="AA29" s="724"/>
      <c r="AB29" s="724"/>
      <c r="AC29" s="752"/>
      <c r="AD29" s="724"/>
      <c r="AE29" s="684"/>
      <c r="AF29" s="645"/>
      <c r="AG29" s="645"/>
      <c r="AH29" s="468"/>
      <c r="AI29" s="209"/>
      <c r="AJ29" s="104"/>
      <c r="AK29" s="92"/>
      <c r="AL29" s="92"/>
      <c r="AM29" s="105"/>
      <c r="AN29" s="386"/>
      <c r="AO29" s="93"/>
      <c r="AP29" s="147"/>
      <c r="AQ29" s="94"/>
      <c r="AR29" s="93"/>
      <c r="AS29" s="93"/>
      <c r="AT29" s="93"/>
      <c r="AU29" s="94"/>
      <c r="AW29" s="140"/>
      <c r="AX29" s="93"/>
      <c r="AY29" s="95"/>
      <c r="AZ29" s="96"/>
      <c r="BA29" s="93"/>
      <c r="BB29" s="95"/>
      <c r="BC29" s="97"/>
      <c r="BG29" s="64"/>
      <c r="BH29" s="62"/>
      <c r="BI29" s="62"/>
    </row>
    <row r="30" spans="1:61" ht="18" customHeight="1">
      <c r="A30" s="237"/>
      <c r="B30" s="240" t="s">
        <v>78</v>
      </c>
      <c r="C30" s="272"/>
      <c r="D30" s="747"/>
      <c r="E30" s="755"/>
      <c r="F30" s="756"/>
      <c r="G30" s="757"/>
      <c r="H30" s="758"/>
      <c r="I30" s="759"/>
      <c r="J30" s="760"/>
      <c r="K30" s="759"/>
      <c r="L30" s="759"/>
      <c r="M30" s="756"/>
      <c r="N30" s="758"/>
      <c r="O30" s="761"/>
      <c r="P30" s="756"/>
      <c r="Q30" s="762"/>
      <c r="R30" s="750"/>
      <c r="S30" s="756"/>
      <c r="T30" s="763"/>
      <c r="U30" s="764"/>
      <c r="V30" s="759"/>
      <c r="W30" s="756"/>
      <c r="X30" s="762"/>
      <c r="Y30" s="759"/>
      <c r="Z30" s="756"/>
      <c r="AA30" s="756"/>
      <c r="AB30" s="757"/>
      <c r="AC30" s="756"/>
      <c r="AD30" s="756"/>
      <c r="AE30" s="765"/>
      <c r="AF30" s="740"/>
      <c r="AG30" s="740"/>
      <c r="AH30" s="480"/>
      <c r="AI30" s="227" cm="1">
        <f t="array" ref="AI30">SUM(COUNTIF(D30:AH30,{"DO","DO1","DO2","DO3","DO4","DO5","DO6","DO7","DO8","DO9","DO10"}))</f>
        <v>0</v>
      </c>
      <c r="AJ30" s="211"/>
      <c r="AK30" s="212"/>
      <c r="AL30" s="212"/>
      <c r="AM30" s="213"/>
      <c r="AN30" s="394"/>
      <c r="AO30" s="214">
        <v>0</v>
      </c>
      <c r="AP30" s="215">
        <v>0</v>
      </c>
      <c r="AQ30" s="83">
        <f>AO30+AP30-AI30</f>
        <v>0</v>
      </c>
      <c r="AR30" s="82">
        <v>0</v>
      </c>
      <c r="AS30" s="82">
        <v>0</v>
      </c>
      <c r="AT30" s="82" cm="1">
        <f t="array" ref="AT30">SUM(COUNTIF(D30:AH30,{"PH1","PH2","PH3","PH4","PH5","PH6","PH7","PH8","PH9","PH10","PH11","PH12","PH13","PH14","PH15","PH16","PH17"}))</f>
        <v>0</v>
      </c>
      <c r="AU30" s="83">
        <f>AR30+AS30-AT30</f>
        <v>0</v>
      </c>
      <c r="AW30" s="140"/>
      <c r="AX30" s="93"/>
      <c r="AY30" s="95"/>
      <c r="AZ30" s="96"/>
      <c r="BA30" s="93"/>
      <c r="BB30" s="95"/>
      <c r="BC30" s="97"/>
      <c r="BG30" s="64"/>
      <c r="BH30" s="62"/>
      <c r="BI30" s="62"/>
    </row>
    <row r="31" spans="1:61" ht="18" customHeight="1">
      <c r="A31" s="91"/>
      <c r="B31" s="340" t="s">
        <v>107</v>
      </c>
      <c r="C31" s="273" t="s">
        <v>47</v>
      </c>
      <c r="D31" s="744"/>
      <c r="E31" s="711"/>
      <c r="F31" s="645"/>
      <c r="G31" s="646"/>
      <c r="H31" s="670"/>
      <c r="I31" s="670"/>
      <c r="J31" s="684"/>
      <c r="K31" s="681"/>
      <c r="L31" s="646"/>
      <c r="M31" s="645"/>
      <c r="N31" s="670"/>
      <c r="O31" s="746"/>
      <c r="P31" s="645"/>
      <c r="Q31" s="733"/>
      <c r="R31" s="681"/>
      <c r="S31" s="645"/>
      <c r="T31" s="667"/>
      <c r="U31" s="766"/>
      <c r="V31" s="681"/>
      <c r="W31" s="681"/>
      <c r="X31" s="733"/>
      <c r="Y31" s="646"/>
      <c r="Z31" s="646"/>
      <c r="AA31" s="645"/>
      <c r="AB31" s="646"/>
      <c r="AC31" s="645"/>
      <c r="AD31" s="670"/>
      <c r="AE31" s="684"/>
      <c r="AF31" s="645"/>
      <c r="AG31" s="645"/>
      <c r="AH31" s="468"/>
      <c r="AI31" s="209"/>
      <c r="AJ31" s="104"/>
      <c r="AK31" s="92"/>
      <c r="AL31" s="92"/>
      <c r="AM31" s="105"/>
      <c r="AN31" s="386"/>
      <c r="AO31" s="93"/>
      <c r="AP31" s="147"/>
      <c r="AQ31" s="94"/>
      <c r="AR31" s="93"/>
      <c r="AS31" s="93"/>
      <c r="AT31" s="93"/>
      <c r="AU31" s="94"/>
      <c r="AW31" s="140"/>
      <c r="AX31" s="93"/>
      <c r="AY31" s="95"/>
      <c r="AZ31" s="96"/>
      <c r="BA31" s="93"/>
      <c r="BB31" s="95"/>
      <c r="BC31" s="97"/>
      <c r="BG31" s="64"/>
      <c r="BH31" s="62"/>
      <c r="BI31" s="62"/>
    </row>
    <row r="32" spans="1:61" ht="18" customHeight="1">
      <c r="A32" s="80">
        <v>5</v>
      </c>
      <c r="B32" s="338" t="s">
        <v>78</v>
      </c>
      <c r="C32" s="339" t="s">
        <v>108</v>
      </c>
      <c r="D32" s="767" t="s">
        <v>50</v>
      </c>
      <c r="E32" s="707" t="s">
        <v>109</v>
      </c>
      <c r="F32" s="740" t="s">
        <v>82</v>
      </c>
      <c r="G32" s="672" t="s">
        <v>82</v>
      </c>
      <c r="H32" s="741" t="s">
        <v>82</v>
      </c>
      <c r="I32" s="741" t="s">
        <v>82</v>
      </c>
      <c r="J32" s="768" t="s">
        <v>51</v>
      </c>
      <c r="K32" s="694" t="s">
        <v>110</v>
      </c>
      <c r="L32" s="672" t="s">
        <v>82</v>
      </c>
      <c r="M32" s="672" t="s">
        <v>82</v>
      </c>
      <c r="N32" s="706" t="s">
        <v>82</v>
      </c>
      <c r="O32" s="748" t="s">
        <v>82</v>
      </c>
      <c r="P32" s="707" t="s">
        <v>52</v>
      </c>
      <c r="Q32" s="769" t="s">
        <v>111</v>
      </c>
      <c r="R32" s="674" t="s">
        <v>112</v>
      </c>
      <c r="S32" s="740" t="s">
        <v>82</v>
      </c>
      <c r="T32" s="740" t="s">
        <v>82</v>
      </c>
      <c r="U32" s="706" t="s">
        <v>82</v>
      </c>
      <c r="V32" s="694" t="s">
        <v>80</v>
      </c>
      <c r="W32" s="707" t="s">
        <v>53</v>
      </c>
      <c r="X32" s="770" t="s">
        <v>82</v>
      </c>
      <c r="Y32" s="672" t="s">
        <v>82</v>
      </c>
      <c r="Z32" s="740" t="s">
        <v>82</v>
      </c>
      <c r="AA32" s="740" t="s">
        <v>82</v>
      </c>
      <c r="AB32" s="674" t="s">
        <v>113</v>
      </c>
      <c r="AC32" s="902"/>
      <c r="AD32" s="707" t="s">
        <v>114</v>
      </c>
      <c r="AE32" s="770" t="s">
        <v>82</v>
      </c>
      <c r="AF32" s="740" t="s">
        <v>82</v>
      </c>
      <c r="AG32" s="707" t="s">
        <v>55</v>
      </c>
      <c r="AH32" s="480"/>
      <c r="AI32" s="227" cm="1">
        <f t="array" ref="AI32">SUM(COUNTIF(D32:AH32,{"DO","DO1","DO2","DO3","DO4","DO5","DO6","DO7","DO8","DO9","DO10"}))</f>
        <v>5</v>
      </c>
      <c r="AJ32" s="211"/>
      <c r="AK32" s="212"/>
      <c r="AL32" s="212"/>
      <c r="AM32" s="213"/>
      <c r="AN32" s="394"/>
      <c r="AO32" s="214">
        <v>6</v>
      </c>
      <c r="AP32" s="215">
        <v>0</v>
      </c>
      <c r="AQ32" s="83">
        <f>AO32+AP32-AI32</f>
        <v>1</v>
      </c>
      <c r="AR32" s="82">
        <v>1</v>
      </c>
      <c r="AS32" s="82">
        <v>0</v>
      </c>
      <c r="AT32" s="82" cm="1">
        <f t="array" ref="AT32">SUM(COUNTIF(D32:AH32,{"PH1","PH2","PH3","PH4","PH5","PH6","PH7","PH8","PH9","PH10","PH11","PH12","PH13","PH14","PH15","PH16","PH17"}))</f>
        <v>0</v>
      </c>
      <c r="AU32" s="83">
        <f>AR32+AS32-AT32</f>
        <v>1</v>
      </c>
      <c r="AW32" s="140"/>
      <c r="AX32" s="93"/>
      <c r="AY32" s="95"/>
      <c r="AZ32" s="96"/>
      <c r="BA32" s="93"/>
      <c r="BB32" s="95"/>
      <c r="BC32" s="97"/>
      <c r="BG32" s="64"/>
      <c r="BH32" s="62"/>
      <c r="BI32" s="62"/>
    </row>
    <row r="33" spans="1:270" ht="18" customHeight="1">
      <c r="A33" s="91"/>
      <c r="B33" s="340"/>
      <c r="C33" s="273" t="s">
        <v>115</v>
      </c>
      <c r="D33" s="493"/>
      <c r="E33" s="468"/>
      <c r="F33" s="469"/>
      <c r="G33" s="469"/>
      <c r="H33" s="472"/>
      <c r="I33" s="472"/>
      <c r="J33" s="409"/>
      <c r="K33" s="469"/>
      <c r="L33" s="469"/>
      <c r="M33" s="468"/>
      <c r="N33" s="472"/>
      <c r="O33" s="501"/>
      <c r="P33" s="468"/>
      <c r="Q33" s="425"/>
      <c r="R33" s="469"/>
      <c r="S33" s="468"/>
      <c r="T33" s="486"/>
      <c r="U33" s="502"/>
      <c r="V33" s="486"/>
      <c r="W33" s="469"/>
      <c r="X33" s="425"/>
      <c r="Y33" s="469"/>
      <c r="Z33" s="469"/>
      <c r="AA33" s="468"/>
      <c r="AB33" s="469"/>
      <c r="AC33" s="694"/>
      <c r="AD33" s="472"/>
      <c r="AE33" s="409"/>
      <c r="AF33" s="469"/>
      <c r="AG33" s="469"/>
      <c r="AH33" s="469"/>
      <c r="AI33" s="196"/>
      <c r="AJ33" s="104"/>
      <c r="AK33" s="92"/>
      <c r="AL33" s="92"/>
      <c r="AM33" s="105"/>
      <c r="AN33" s="386"/>
      <c r="AO33" s="93"/>
      <c r="AP33" s="147"/>
      <c r="AQ33" s="94"/>
      <c r="AR33" s="93"/>
      <c r="AS33" s="93"/>
      <c r="AT33" s="93"/>
      <c r="AU33" s="94"/>
      <c r="AW33" s="140"/>
      <c r="AX33" s="93"/>
      <c r="AY33" s="95"/>
      <c r="AZ33" s="96"/>
      <c r="BA33" s="93"/>
      <c r="BB33" s="95"/>
      <c r="BC33" s="97"/>
      <c r="BG33" s="64"/>
      <c r="BH33" s="62"/>
      <c r="BI33" s="62"/>
    </row>
    <row r="34" spans="1:270" ht="18" customHeight="1" thickBot="1">
      <c r="A34" s="130"/>
      <c r="B34" s="324"/>
      <c r="C34" s="274" t="s">
        <v>116</v>
      </c>
      <c r="D34" s="503" t="s">
        <v>117</v>
      </c>
      <c r="E34" s="483" t="s">
        <v>117</v>
      </c>
      <c r="F34" s="483" t="s">
        <v>118</v>
      </c>
      <c r="G34" s="484" t="s">
        <v>117</v>
      </c>
      <c r="H34" s="504" t="s">
        <v>117</v>
      </c>
      <c r="I34" s="504" t="s">
        <v>119</v>
      </c>
      <c r="J34" s="419" t="s">
        <v>119</v>
      </c>
      <c r="K34" s="484" t="s">
        <v>118</v>
      </c>
      <c r="L34" s="484" t="s">
        <v>118</v>
      </c>
      <c r="M34" s="483" t="s">
        <v>117</v>
      </c>
      <c r="N34" s="504" t="s">
        <v>117</v>
      </c>
      <c r="O34" s="505" t="s">
        <v>117</v>
      </c>
      <c r="P34" s="483" t="s">
        <v>119</v>
      </c>
      <c r="Q34" s="443" t="s">
        <v>117</v>
      </c>
      <c r="R34" s="484" t="s">
        <v>117</v>
      </c>
      <c r="S34" s="483" t="s">
        <v>117</v>
      </c>
      <c r="T34" s="506" t="s">
        <v>117</v>
      </c>
      <c r="U34" s="507" t="s">
        <v>117</v>
      </c>
      <c r="V34" s="506" t="s">
        <v>118</v>
      </c>
      <c r="W34" s="484" t="s">
        <v>118</v>
      </c>
      <c r="X34" s="443" t="s">
        <v>117</v>
      </c>
      <c r="Y34" s="484" t="s">
        <v>117</v>
      </c>
      <c r="Z34" s="484" t="s">
        <v>117</v>
      </c>
      <c r="AA34" s="483" t="s">
        <v>117</v>
      </c>
      <c r="AB34" s="484" t="s">
        <v>117</v>
      </c>
      <c r="AC34" s="483" t="s">
        <v>118</v>
      </c>
      <c r="AD34" s="504" t="s">
        <v>117</v>
      </c>
      <c r="AE34" s="419" t="s">
        <v>117</v>
      </c>
      <c r="AF34" s="484" t="s">
        <v>117</v>
      </c>
      <c r="AG34" s="484" t="s">
        <v>117</v>
      </c>
      <c r="AH34" s="484"/>
      <c r="AI34" s="197" cm="1">
        <f t="array" ref="AI34">SUM(COUNTIF(D34:AH34,{"DO","DO1","DO2","DO3","DO4","DO5","DO6","DO7","DO8","DO9","DO10"}))</f>
        <v>0</v>
      </c>
      <c r="AJ34" s="113"/>
      <c r="AK34" s="114"/>
      <c r="AL34" s="114"/>
      <c r="AM34" s="115"/>
      <c r="AN34" s="395"/>
      <c r="AO34" s="116">
        <v>0</v>
      </c>
      <c r="AP34" s="176">
        <v>0</v>
      </c>
      <c r="AQ34" s="235">
        <f>AO34+AP34-AI34</f>
        <v>0</v>
      </c>
      <c r="AR34" s="233">
        <v>0</v>
      </c>
      <c r="AS34" s="233">
        <v>0</v>
      </c>
      <c r="AT34" s="82" cm="1">
        <f t="array" ref="AT34">SUM(COUNTIF(D34:AH34,{"PH1","PH2","PH3","PH4","PH5","PH6","PH7","PH8","PH9","PH10","PH11","PH12","PH13","PH14","PH15","PH16","PH17"}))</f>
        <v>0</v>
      </c>
      <c r="AU34" s="235">
        <f>AR34+AS34-AT34</f>
        <v>0</v>
      </c>
      <c r="AW34" s="140"/>
      <c r="AX34" s="93"/>
      <c r="AY34" s="95"/>
      <c r="AZ34" s="96"/>
      <c r="BA34" s="93"/>
      <c r="BB34" s="95"/>
      <c r="BC34" s="97"/>
      <c r="BG34" s="64"/>
      <c r="BH34" s="62"/>
      <c r="BI34" s="62"/>
    </row>
    <row r="35" spans="1:270" ht="18" hidden="1" customHeight="1" thickBot="1">
      <c r="A35" s="91"/>
      <c r="B35" s="314"/>
      <c r="C35" s="266"/>
      <c r="D35" s="468"/>
      <c r="E35" s="469"/>
      <c r="F35" s="469"/>
      <c r="G35" s="469"/>
      <c r="H35" s="469"/>
      <c r="I35" s="469"/>
      <c r="J35" s="410"/>
      <c r="K35" s="468"/>
      <c r="L35" s="469"/>
      <c r="M35" s="469"/>
      <c r="N35" s="469"/>
      <c r="O35" s="468"/>
      <c r="P35" s="469"/>
      <c r="Q35" s="410"/>
      <c r="R35" s="469"/>
      <c r="S35" s="469"/>
      <c r="T35" s="468"/>
      <c r="U35" s="469"/>
      <c r="V35" s="468"/>
      <c r="W35" s="469"/>
      <c r="X35" s="425"/>
      <c r="Y35" s="469"/>
      <c r="Z35" s="469"/>
      <c r="AA35" s="468"/>
      <c r="AB35" s="469"/>
      <c r="AC35" s="468"/>
      <c r="AD35" s="472"/>
      <c r="AE35" s="409"/>
      <c r="AF35" s="469"/>
      <c r="AG35" s="469"/>
      <c r="AH35" s="469"/>
      <c r="AI35" s="196"/>
      <c r="AJ35" s="104"/>
      <c r="AK35" s="92"/>
      <c r="AL35" s="92"/>
      <c r="AM35" s="105"/>
      <c r="AN35" s="386"/>
      <c r="AO35" s="93"/>
      <c r="AP35" s="147"/>
      <c r="AQ35" s="94"/>
      <c r="AR35" s="93"/>
      <c r="AS35" s="93"/>
      <c r="AT35" s="93"/>
      <c r="AU35" s="94"/>
      <c r="AW35" s="140"/>
      <c r="AX35" s="93"/>
      <c r="AY35" s="95"/>
      <c r="AZ35" s="96"/>
      <c r="BA35" s="93"/>
      <c r="BB35" s="95"/>
      <c r="BC35" s="97"/>
      <c r="BG35" s="64"/>
      <c r="BH35" s="62"/>
      <c r="BI35" s="62"/>
    </row>
    <row r="36" spans="1:270" ht="18" hidden="1" customHeight="1" thickTop="1">
      <c r="A36" s="130"/>
      <c r="B36" s="315" t="s">
        <v>120</v>
      </c>
      <c r="C36" s="275"/>
      <c r="D36" s="483"/>
      <c r="E36" s="469"/>
      <c r="F36" s="484"/>
      <c r="G36" s="484"/>
      <c r="H36" s="484"/>
      <c r="I36" s="484"/>
      <c r="J36" s="424"/>
      <c r="K36" s="483"/>
      <c r="L36" s="484"/>
      <c r="M36" s="483"/>
      <c r="N36" s="484"/>
      <c r="O36" s="483"/>
      <c r="P36" s="484"/>
      <c r="Q36" s="424"/>
      <c r="R36" s="483"/>
      <c r="S36" s="484"/>
      <c r="T36" s="483"/>
      <c r="U36" s="484"/>
      <c r="V36" s="483"/>
      <c r="W36" s="484"/>
      <c r="X36" s="443"/>
      <c r="Y36" s="484"/>
      <c r="Z36" s="484"/>
      <c r="AA36" s="483"/>
      <c r="AB36" s="484"/>
      <c r="AC36" s="483"/>
      <c r="AD36" s="504"/>
      <c r="AE36" s="419"/>
      <c r="AF36" s="484"/>
      <c r="AG36" s="484"/>
      <c r="AH36" s="484"/>
      <c r="AI36" s="197">
        <f>COUNTIF(D36:AE36,"DO")</f>
        <v>0</v>
      </c>
      <c r="AJ36" s="113"/>
      <c r="AK36" s="114"/>
      <c r="AL36" s="114"/>
      <c r="AM36" s="115"/>
      <c r="AN36" s="395"/>
      <c r="AO36" s="116"/>
      <c r="AP36" s="176"/>
      <c r="AQ36" s="117"/>
      <c r="AR36" s="116"/>
      <c r="AS36" s="116"/>
      <c r="AT36" s="116"/>
      <c r="AU36" s="117"/>
      <c r="AW36" s="140"/>
      <c r="AX36" s="93"/>
      <c r="AY36" s="95"/>
      <c r="AZ36" s="96"/>
      <c r="BA36" s="93"/>
      <c r="BB36" s="95"/>
      <c r="BC36" s="97"/>
      <c r="BG36" s="64"/>
      <c r="BH36" s="62"/>
      <c r="BI36" s="62"/>
    </row>
    <row r="37" spans="1:270" ht="18" customHeight="1" thickTop="1">
      <c r="A37" s="132">
        <v>1</v>
      </c>
      <c r="B37" s="325"/>
      <c r="C37" s="266" t="s">
        <v>47</v>
      </c>
      <c r="D37" s="508"/>
      <c r="E37" s="899" t="s">
        <v>121</v>
      </c>
      <c r="F37" s="509"/>
      <c r="G37" s="472"/>
      <c r="H37" s="481"/>
      <c r="I37" s="469"/>
      <c r="J37" s="410"/>
      <c r="K37" s="468"/>
      <c r="L37" s="469"/>
      <c r="M37" s="468"/>
      <c r="N37" s="469"/>
      <c r="O37" s="510"/>
      <c r="P37" s="481"/>
      <c r="Q37" s="410"/>
      <c r="R37" s="509"/>
      <c r="S37" s="468"/>
      <c r="T37" s="468"/>
      <c r="U37" s="469"/>
      <c r="V37" s="508"/>
      <c r="W37" s="468"/>
      <c r="X37" s="901" t="s">
        <v>122</v>
      </c>
      <c r="Y37" s="469"/>
      <c r="Z37" s="469"/>
      <c r="AA37" s="468"/>
      <c r="AB37" s="468"/>
      <c r="AC37" s="843"/>
      <c r="AD37" s="472" t="s">
        <v>70</v>
      </c>
      <c r="AE37" s="409" t="s">
        <v>70</v>
      </c>
      <c r="AF37" s="469"/>
      <c r="AG37" s="872" t="s">
        <v>123</v>
      </c>
      <c r="AH37" s="469"/>
      <c r="AI37" s="196"/>
      <c r="AJ37" s="104"/>
      <c r="AK37" s="106"/>
      <c r="AL37" s="106"/>
      <c r="AM37" s="105"/>
      <c r="AN37" s="386"/>
      <c r="AO37" s="93"/>
      <c r="AP37" s="147"/>
      <c r="AQ37" s="108"/>
      <c r="AR37" s="93"/>
      <c r="AS37" s="186"/>
      <c r="AT37" s="151"/>
      <c r="AU37" s="190"/>
      <c r="AV37"/>
      <c r="AW37" s="143"/>
      <c r="AX37" s="93"/>
      <c r="AY37" s="95"/>
      <c r="AZ37" s="96"/>
      <c r="BA37" s="93"/>
      <c r="BB37" s="95"/>
      <c r="BC37" s="97"/>
      <c r="BG37" s="64"/>
      <c r="BH37" s="62"/>
      <c r="BI37" s="62"/>
    </row>
    <row r="38" spans="1:270" ht="18" customHeight="1">
      <c r="A38" s="164" t="s">
        <v>92</v>
      </c>
      <c r="B38" s="316" t="s">
        <v>124</v>
      </c>
      <c r="C38" s="276" t="s">
        <v>125</v>
      </c>
      <c r="D38" s="474" t="s">
        <v>126</v>
      </c>
      <c r="E38" s="591" t="s">
        <v>127</v>
      </c>
      <c r="F38" s="475" t="s">
        <v>69</v>
      </c>
      <c r="G38" s="475" t="s">
        <v>69</v>
      </c>
      <c r="H38" s="475" t="s">
        <v>68</v>
      </c>
      <c r="I38" s="475" t="s">
        <v>69</v>
      </c>
      <c r="J38" s="343" t="s">
        <v>50</v>
      </c>
      <c r="K38" s="488" t="s">
        <v>51</v>
      </c>
      <c r="L38" s="475" t="s">
        <v>52</v>
      </c>
      <c r="M38" s="488" t="s">
        <v>69</v>
      </c>
      <c r="N38" s="475" t="s">
        <v>69</v>
      </c>
      <c r="O38" s="474" t="s">
        <v>68</v>
      </c>
      <c r="P38" s="475" t="s">
        <v>68</v>
      </c>
      <c r="Q38" s="421" t="s">
        <v>69</v>
      </c>
      <c r="R38" s="474" t="s">
        <v>53</v>
      </c>
      <c r="S38" s="474" t="s">
        <v>69</v>
      </c>
      <c r="T38" s="474" t="s">
        <v>69</v>
      </c>
      <c r="U38" s="475" t="s">
        <v>68</v>
      </c>
      <c r="V38" s="474" t="s">
        <v>69</v>
      </c>
      <c r="W38" s="474" t="s">
        <v>54</v>
      </c>
      <c r="X38" s="900" t="s">
        <v>95</v>
      </c>
      <c r="Y38" s="474" t="s">
        <v>69</v>
      </c>
      <c r="Z38" s="475" t="s">
        <v>68</v>
      </c>
      <c r="AA38" s="475" t="s">
        <v>69</v>
      </c>
      <c r="AB38" s="475" t="s">
        <v>68</v>
      </c>
      <c r="AC38" s="474" t="s">
        <v>69</v>
      </c>
      <c r="AD38" s="833" t="s">
        <v>80</v>
      </c>
      <c r="AE38" s="343" t="s">
        <v>55</v>
      </c>
      <c r="AF38" s="474" t="s">
        <v>128</v>
      </c>
      <c r="AG38" s="597" t="s">
        <v>87</v>
      </c>
      <c r="AH38" s="611"/>
      <c r="AI38" s="194" cm="1">
        <f t="array" ref="AI38">SUM(COUNTIF(D38:AH38,{"DO","DO1","DO2","DO3","DO4","DO5","DO6","DO7","DO8","DO9","DO10"}))</f>
        <v>6</v>
      </c>
      <c r="AJ38" s="100"/>
      <c r="AK38" s="99"/>
      <c r="AL38" s="99"/>
      <c r="AM38" s="101"/>
      <c r="AN38" s="393"/>
      <c r="AO38" s="82">
        <v>6</v>
      </c>
      <c r="AP38" s="174">
        <v>0</v>
      </c>
      <c r="AQ38" s="83">
        <f>AO38+AP38-AI38</f>
        <v>0</v>
      </c>
      <c r="AR38" s="82">
        <v>1</v>
      </c>
      <c r="AS38" s="187">
        <v>0</v>
      </c>
      <c r="AT38" s="82" cm="1">
        <f t="array" ref="AT38">SUM(COUNTIF(D38:AH38,{"SH1","SH2","SH3","SH4","SH5","SH6","SH7","SH8","SH9","SH10","SH11","SH12","SH13","SH14"}))</f>
        <v>1</v>
      </c>
      <c r="AU38" s="183">
        <f>AR38+AS38-AT38</f>
        <v>0</v>
      </c>
      <c r="AV38"/>
      <c r="AW38" s="143"/>
      <c r="AX38" s="93"/>
      <c r="AY38" s="95"/>
      <c r="AZ38" s="96"/>
      <c r="BA38" s="93"/>
      <c r="BB38" s="95"/>
      <c r="BC38" s="97"/>
      <c r="BG38" s="64"/>
      <c r="BH38" s="62"/>
      <c r="BI38" s="62"/>
    </row>
    <row r="39" spans="1:270" ht="18" customHeight="1">
      <c r="A39" s="118">
        <v>2</v>
      </c>
      <c r="B39" s="121"/>
      <c r="C39" s="266" t="s">
        <v>47</v>
      </c>
      <c r="D39" s="468"/>
      <c r="E39" s="873" t="s">
        <v>123</v>
      </c>
      <c r="F39" s="511"/>
      <c r="G39" s="472"/>
      <c r="H39" s="511"/>
      <c r="I39" s="469"/>
      <c r="J39" s="425" t="s">
        <v>70</v>
      </c>
      <c r="K39" s="469"/>
      <c r="L39" s="469"/>
      <c r="M39" s="469"/>
      <c r="N39" s="469"/>
      <c r="O39" s="509"/>
      <c r="P39" s="469"/>
      <c r="Q39" s="410" t="s">
        <v>70</v>
      </c>
      <c r="R39" s="468"/>
      <c r="S39" s="468"/>
      <c r="T39" s="468"/>
      <c r="U39" s="469"/>
      <c r="V39" s="477"/>
      <c r="W39" s="468"/>
      <c r="X39" s="417"/>
      <c r="Y39" s="469"/>
      <c r="Z39" s="469"/>
      <c r="AA39" s="468"/>
      <c r="AB39" s="468"/>
      <c r="AC39" s="889"/>
      <c r="AD39" s="472"/>
      <c r="AE39" s="409"/>
      <c r="AF39" s="469"/>
      <c r="AG39" s="469"/>
      <c r="AH39" s="469"/>
      <c r="AI39" s="196"/>
      <c r="AJ39" s="104"/>
      <c r="AK39" s="106"/>
      <c r="AL39" s="106"/>
      <c r="AM39" s="105"/>
      <c r="AN39" s="386"/>
      <c r="AO39" s="93"/>
      <c r="AP39" s="147"/>
      <c r="AQ39" s="94"/>
      <c r="AR39" s="93"/>
      <c r="AS39" s="186"/>
      <c r="AT39" s="93"/>
      <c r="AU39" s="190"/>
      <c r="AV39"/>
      <c r="AW39" s="143"/>
      <c r="AX39" s="93"/>
      <c r="AY39" s="95"/>
      <c r="AZ39" s="96"/>
      <c r="BA39" s="93"/>
      <c r="BB39" s="95"/>
      <c r="BC39" s="97"/>
      <c r="BG39" s="64"/>
      <c r="BH39" s="62"/>
      <c r="BI39" s="62"/>
    </row>
    <row r="40" spans="1:270" ht="18" customHeight="1">
      <c r="A40" s="131"/>
      <c r="B40" s="120" t="s">
        <v>129</v>
      </c>
      <c r="C40" s="326" t="s">
        <v>130</v>
      </c>
      <c r="D40" s="474" t="s">
        <v>86</v>
      </c>
      <c r="E40" s="597" t="s">
        <v>87</v>
      </c>
      <c r="F40" s="613" t="s">
        <v>83</v>
      </c>
      <c r="G40" s="612" t="s">
        <v>50</v>
      </c>
      <c r="H40" s="481" t="s">
        <v>69</v>
      </c>
      <c r="I40" s="834" t="s">
        <v>80</v>
      </c>
      <c r="J40" s="426" t="s">
        <v>51</v>
      </c>
      <c r="K40" s="475" t="s">
        <v>69</v>
      </c>
      <c r="L40" s="475" t="s">
        <v>69</v>
      </c>
      <c r="M40" s="475" t="s">
        <v>68</v>
      </c>
      <c r="N40" s="475" t="s">
        <v>68</v>
      </c>
      <c r="O40" s="487" t="s">
        <v>69</v>
      </c>
      <c r="P40" s="475" t="s">
        <v>69</v>
      </c>
      <c r="Q40" s="421" t="s">
        <v>52</v>
      </c>
      <c r="R40" s="474" t="s">
        <v>69</v>
      </c>
      <c r="S40" s="474" t="s">
        <v>68</v>
      </c>
      <c r="T40" s="474" t="s">
        <v>63</v>
      </c>
      <c r="U40" s="475" t="s">
        <v>69</v>
      </c>
      <c r="V40" s="474" t="s">
        <v>53</v>
      </c>
      <c r="W40" s="474" t="s">
        <v>75</v>
      </c>
      <c r="X40" s="343" t="s">
        <v>69</v>
      </c>
      <c r="Y40" s="475" t="s">
        <v>68</v>
      </c>
      <c r="Z40" s="475" t="s">
        <v>69</v>
      </c>
      <c r="AA40" s="474" t="s">
        <v>68</v>
      </c>
      <c r="AB40" s="475" t="s">
        <v>69</v>
      </c>
      <c r="AC40" s="835" t="s">
        <v>54</v>
      </c>
      <c r="AD40" s="888" t="s">
        <v>69</v>
      </c>
      <c r="AE40" s="343" t="s">
        <v>69</v>
      </c>
      <c r="AF40" s="475" t="s">
        <v>69</v>
      </c>
      <c r="AG40" s="475" t="s">
        <v>55</v>
      </c>
      <c r="AH40" s="475"/>
      <c r="AI40" s="194">
        <v>6</v>
      </c>
      <c r="AJ40" s="100"/>
      <c r="AK40" s="99"/>
      <c r="AL40" s="99"/>
      <c r="AM40" s="101"/>
      <c r="AN40" s="393"/>
      <c r="AO40" s="82">
        <v>6</v>
      </c>
      <c r="AP40" s="174">
        <v>0</v>
      </c>
      <c r="AQ40" s="83">
        <f>AO40+AP40-AI40</f>
        <v>0</v>
      </c>
      <c r="AR40" s="82">
        <v>1</v>
      </c>
      <c r="AS40" s="187">
        <v>0</v>
      </c>
      <c r="AT40" s="82" cm="1">
        <f t="array" ref="AT40">SUM(COUNTIF(D40:AH40,{"SH1","SH2","SH3","SH4","SH5","SH6","SH7","SH8","SH9","SH10","SH11","SH12","SH13","SH14"}))</f>
        <v>1</v>
      </c>
      <c r="AU40" s="83">
        <f>AR40+AS40-AT40</f>
        <v>0</v>
      </c>
      <c r="AV40"/>
      <c r="AW40" s="143"/>
      <c r="AX40" s="93"/>
      <c r="AY40" s="95"/>
      <c r="AZ40" s="96"/>
      <c r="BA40" s="93"/>
      <c r="BB40" s="95"/>
      <c r="BC40" s="97"/>
      <c r="BG40" s="64"/>
      <c r="BH40" s="62"/>
      <c r="BI40" s="62"/>
    </row>
    <row r="41" spans="1:270" ht="18" customHeight="1">
      <c r="A41" s="119">
        <v>3</v>
      </c>
      <c r="B41" s="163"/>
      <c r="C41" s="327"/>
      <c r="D41" s="513"/>
      <c r="E41" s="477"/>
      <c r="F41" s="476"/>
      <c r="G41" s="470"/>
      <c r="H41" s="470"/>
      <c r="I41" s="476"/>
      <c r="J41" s="417"/>
      <c r="K41" s="477"/>
      <c r="L41" s="476"/>
      <c r="M41" s="477"/>
      <c r="N41" s="476"/>
      <c r="O41" s="477"/>
      <c r="P41" s="476"/>
      <c r="Q41" s="420"/>
      <c r="R41" s="477"/>
      <c r="S41" s="477"/>
      <c r="T41" s="477"/>
      <c r="U41" s="476"/>
      <c r="V41" s="468"/>
      <c r="W41" s="882"/>
      <c r="X41" s="409"/>
      <c r="Y41" s="468"/>
      <c r="Z41" s="476"/>
      <c r="AA41" s="476"/>
      <c r="AB41" s="469"/>
      <c r="AC41" s="468"/>
      <c r="AD41" s="472"/>
      <c r="AE41" s="409"/>
      <c r="AF41" s="469"/>
      <c r="AG41" s="469"/>
      <c r="AH41" s="469"/>
      <c r="AI41" s="193"/>
      <c r="AJ41" s="104"/>
      <c r="AK41" s="106"/>
      <c r="AL41" s="106"/>
      <c r="AM41" s="105"/>
      <c r="AN41" s="386"/>
      <c r="AO41" s="93"/>
      <c r="AP41" s="147"/>
      <c r="AQ41" s="94"/>
      <c r="AR41" s="93"/>
      <c r="AS41" s="186"/>
      <c r="AT41" s="93"/>
      <c r="AU41" s="94"/>
      <c r="AV41"/>
      <c r="AW41" s="143"/>
      <c r="AX41" s="93"/>
      <c r="AY41" s="95"/>
      <c r="AZ41" s="96"/>
      <c r="BA41" s="93"/>
      <c r="BB41" s="95"/>
      <c r="BC41" s="97"/>
      <c r="BG41" s="64"/>
      <c r="BH41" s="62"/>
      <c r="BI41" s="62"/>
    </row>
    <row r="42" spans="1:270" ht="18" customHeight="1">
      <c r="A42" s="80"/>
      <c r="B42" s="120" t="s">
        <v>131</v>
      </c>
      <c r="C42" s="329" t="s">
        <v>132</v>
      </c>
      <c r="D42" s="933" t="s">
        <v>126</v>
      </c>
      <c r="E42" s="934"/>
      <c r="F42" s="935" t="s">
        <v>69</v>
      </c>
      <c r="G42" s="936" t="s">
        <v>69</v>
      </c>
      <c r="H42" s="935" t="s">
        <v>68</v>
      </c>
      <c r="I42" s="937" t="s">
        <v>69</v>
      </c>
      <c r="J42" s="938" t="s">
        <v>69</v>
      </c>
      <c r="K42" s="935"/>
      <c r="L42" s="935"/>
      <c r="M42" s="934" t="s">
        <v>69</v>
      </c>
      <c r="N42" s="935" t="s">
        <v>69</v>
      </c>
      <c r="O42" s="934" t="s">
        <v>68</v>
      </c>
      <c r="P42" s="935" t="s">
        <v>68</v>
      </c>
      <c r="Q42" s="934" t="s">
        <v>69</v>
      </c>
      <c r="R42" s="934"/>
      <c r="S42" s="934" t="s">
        <v>69</v>
      </c>
      <c r="T42" s="934" t="s">
        <v>69</v>
      </c>
      <c r="U42" s="935" t="s">
        <v>68</v>
      </c>
      <c r="V42" s="934" t="s">
        <v>69</v>
      </c>
      <c r="W42" s="935"/>
      <c r="X42" s="935" t="s">
        <v>69</v>
      </c>
      <c r="Y42" s="934" t="s">
        <v>69</v>
      </c>
      <c r="Z42" s="935" t="s">
        <v>68</v>
      </c>
      <c r="AA42" s="939" t="s">
        <v>69</v>
      </c>
      <c r="AB42" s="935" t="s">
        <v>68</v>
      </c>
      <c r="AC42" s="935" t="s">
        <v>69</v>
      </c>
      <c r="AD42" s="940"/>
      <c r="AE42" s="941"/>
      <c r="AF42" s="935" t="s">
        <v>128</v>
      </c>
      <c r="AG42" s="935" t="s">
        <v>87</v>
      </c>
      <c r="AH42" s="475"/>
      <c r="AI42" s="194" cm="1">
        <f t="array" ref="AI42">SUM(COUNTIF(D42:AH42,{"DO","DO1","DO2","DO3","DO4","DO5","DO6","DO7","DO8","DO9","DO10"}))</f>
        <v>0</v>
      </c>
      <c r="AJ42" s="104"/>
      <c r="AK42" s="106"/>
      <c r="AL42" s="106"/>
      <c r="AM42" s="105"/>
      <c r="AN42" s="386"/>
      <c r="AO42" s="82">
        <v>6</v>
      </c>
      <c r="AP42" s="174">
        <v>0</v>
      </c>
      <c r="AQ42" s="83">
        <f>AO42+AP42-AI42</f>
        <v>6</v>
      </c>
      <c r="AR42" s="82">
        <v>1</v>
      </c>
      <c r="AS42" s="187">
        <v>0</v>
      </c>
      <c r="AT42" s="82" cm="1">
        <f t="array" ref="AT42">SUM(COUNTIF(D42:AH42,{"SH1","SH2","SH3","SH4","SH5","SH6","SH7","SH8","SH9","SH10","SH11","SH12","SH13","SH14"}))</f>
        <v>0</v>
      </c>
      <c r="AU42" s="83">
        <f>AR42+AS42-AT42</f>
        <v>1</v>
      </c>
      <c r="AV42"/>
      <c r="AW42" s="143"/>
      <c r="AX42" s="93"/>
      <c r="AY42" s="95"/>
      <c r="AZ42" s="96"/>
      <c r="BA42" s="93"/>
      <c r="BB42" s="95"/>
      <c r="BC42" s="97"/>
      <c r="BG42" s="64"/>
      <c r="BH42" s="62" t="s">
        <v>88</v>
      </c>
      <c r="BI42" s="62"/>
    </row>
    <row r="43" spans="1:270" ht="18" customHeight="1">
      <c r="A43" s="119">
        <v>4</v>
      </c>
      <c r="B43" s="182"/>
      <c r="C43" s="329" t="s">
        <v>133</v>
      </c>
      <c r="D43" s="879" t="s">
        <v>72</v>
      </c>
      <c r="E43" s="477"/>
      <c r="F43" s="476"/>
      <c r="G43" s="470"/>
      <c r="H43" s="470"/>
      <c r="I43" s="476"/>
      <c r="J43" s="427"/>
      <c r="K43" s="476"/>
      <c r="L43" s="476"/>
      <c r="M43" s="477"/>
      <c r="N43" s="476"/>
      <c r="O43" s="477"/>
      <c r="P43" s="868" t="s">
        <v>134</v>
      </c>
      <c r="Q43" s="862" t="s">
        <v>135</v>
      </c>
      <c r="R43" s="862" t="s">
        <v>135</v>
      </c>
      <c r="S43" s="868" t="s">
        <v>134</v>
      </c>
      <c r="T43" s="867"/>
      <c r="U43" s="890"/>
      <c r="V43" s="868" t="s">
        <v>134</v>
      </c>
      <c r="W43" s="862" t="s">
        <v>135</v>
      </c>
      <c r="X43" s="417"/>
      <c r="Y43" s="870"/>
      <c r="Z43" s="470"/>
      <c r="AA43" s="868" t="s">
        <v>134</v>
      </c>
      <c r="AB43" s="477"/>
      <c r="AC43" s="864" t="s">
        <v>135</v>
      </c>
      <c r="AD43" s="864" t="s">
        <v>135</v>
      </c>
      <c r="AE43" s="422"/>
      <c r="AF43" s="485"/>
      <c r="AG43" s="485"/>
      <c r="AH43" s="485"/>
      <c r="AI43" s="193"/>
      <c r="AJ43" s="104"/>
      <c r="AK43" s="106"/>
      <c r="AL43" s="106"/>
      <c r="AM43" s="105"/>
      <c r="AN43" s="386"/>
      <c r="AO43" s="89"/>
      <c r="AP43" s="175"/>
      <c r="AQ43" s="185"/>
      <c r="AR43" s="89"/>
      <c r="AS43" s="189"/>
      <c r="AT43" s="89"/>
      <c r="AU43" s="90"/>
      <c r="AV43"/>
      <c r="AW43" s="140"/>
      <c r="AX43" s="93"/>
      <c r="AY43" s="95"/>
      <c r="AZ43" s="96"/>
      <c r="BA43" s="93"/>
      <c r="BB43" s="95"/>
      <c r="BC43" s="97"/>
      <c r="BG43" s="64"/>
      <c r="BH43" s="62"/>
      <c r="BI43" s="62"/>
    </row>
    <row r="44" spans="1:270" ht="18" customHeight="1">
      <c r="A44" s="80"/>
      <c r="B44" s="120" t="s">
        <v>131</v>
      </c>
      <c r="D44" s="493" t="s">
        <v>136</v>
      </c>
      <c r="E44" s="874"/>
      <c r="F44" s="475"/>
      <c r="G44" s="475"/>
      <c r="H44" s="475"/>
      <c r="I44" s="475"/>
      <c r="J44" s="343"/>
      <c r="K44" s="475"/>
      <c r="L44" s="475"/>
      <c r="M44" s="475"/>
      <c r="N44" s="475"/>
      <c r="O44" s="475"/>
      <c r="P44" s="861" t="s">
        <v>137</v>
      </c>
      <c r="Q44" s="493" t="s">
        <v>136</v>
      </c>
      <c r="R44" s="493" t="s">
        <v>136</v>
      </c>
      <c r="S44" s="861" t="s">
        <v>137</v>
      </c>
      <c r="T44" s="861"/>
      <c r="U44" s="861"/>
      <c r="V44" s="861" t="s">
        <v>137</v>
      </c>
      <c r="W44" s="861" t="s">
        <v>137</v>
      </c>
      <c r="X44" s="343"/>
      <c r="Y44" s="475"/>
      <c r="Z44" s="475"/>
      <c r="AA44" s="475"/>
      <c r="AB44" s="475"/>
      <c r="AC44" s="475" t="s">
        <v>138</v>
      </c>
      <c r="AD44" s="861" t="s">
        <v>137</v>
      </c>
      <c r="AE44" s="343"/>
      <c r="AF44" s="475"/>
      <c r="AG44" s="475"/>
      <c r="AH44" s="475"/>
      <c r="AI44" s="194" cm="1">
        <f t="array" ref="AI44">SUM(COUNTIF(D44:AH44,{"DO","DO1","DO2","DO3","DO4","DO5","DO6","DO7","DO8","DO9","DO10"}))</f>
        <v>0</v>
      </c>
      <c r="AJ44" s="100"/>
      <c r="AK44" s="99"/>
      <c r="AL44" s="99"/>
      <c r="AM44" s="101"/>
      <c r="AN44" s="393"/>
      <c r="AO44" s="82">
        <v>0</v>
      </c>
      <c r="AP44" s="174">
        <v>0</v>
      </c>
      <c r="AQ44" s="184">
        <f>AO44+AP44-AI44</f>
        <v>0</v>
      </c>
      <c r="AR44" s="82">
        <v>0</v>
      </c>
      <c r="AS44" s="188">
        <v>0</v>
      </c>
      <c r="AT44" s="82" cm="1">
        <f t="array" ref="AT44">SUM(COUNTIF(D44:AH44,{"SH1","SH2","SH3","SH4","SH5","SH6","SH7","SH8","SH9","SH10","SH11","SH12","SH13","SH14"}))</f>
        <v>0</v>
      </c>
      <c r="AU44" s="83">
        <f>AR44+AS44-AT44</f>
        <v>0</v>
      </c>
      <c r="AW44" s="140"/>
      <c r="AX44" s="93"/>
      <c r="AY44" s="95"/>
      <c r="AZ44" s="96"/>
      <c r="BA44" s="93"/>
      <c r="BB44" s="95"/>
      <c r="BC44" s="97"/>
      <c r="BG44" s="64"/>
      <c r="BH44" s="62"/>
      <c r="BI44" s="62"/>
    </row>
    <row r="45" spans="1:270" s="111" customFormat="1" ht="18" customHeight="1">
      <c r="A45" s="119">
        <v>5</v>
      </c>
      <c r="B45" s="182"/>
      <c r="C45" s="328" t="s">
        <v>47</v>
      </c>
      <c r="D45" s="513"/>
      <c r="E45" s="477"/>
      <c r="F45" s="847" t="s">
        <v>139</v>
      </c>
      <c r="G45" s="850" t="s">
        <v>140</v>
      </c>
      <c r="H45" s="476"/>
      <c r="I45" s="476"/>
      <c r="J45" s="847" t="s">
        <v>139</v>
      </c>
      <c r="K45" s="470"/>
      <c r="L45" s="476"/>
      <c r="M45" s="477"/>
      <c r="N45" s="476"/>
      <c r="O45" s="494"/>
      <c r="P45" s="477"/>
      <c r="Q45" s="417"/>
      <c r="R45" s="855" t="s">
        <v>141</v>
      </c>
      <c r="S45" s="850" t="s">
        <v>140</v>
      </c>
      <c r="T45" s="477"/>
      <c r="V45" s="477"/>
      <c r="W45" s="476"/>
      <c r="X45" s="417"/>
      <c r="Y45" s="847" t="s">
        <v>139</v>
      </c>
      <c r="Z45" s="476"/>
      <c r="AA45" s="477"/>
      <c r="AB45" s="477"/>
      <c r="AC45" s="477"/>
      <c r="AD45" s="477"/>
      <c r="AE45" s="420"/>
      <c r="AF45" s="477"/>
      <c r="AG45" s="477"/>
      <c r="AH45" s="477"/>
      <c r="AI45" s="193"/>
      <c r="AJ45" s="102"/>
      <c r="AK45" s="134"/>
      <c r="AL45" s="134"/>
      <c r="AM45" s="103"/>
      <c r="AN45" s="398"/>
      <c r="AO45" s="89"/>
      <c r="AP45" s="604"/>
      <c r="AQ45" s="605"/>
      <c r="AR45" s="89"/>
      <c r="AS45" s="189"/>
      <c r="AT45" s="89"/>
      <c r="AU45" s="90"/>
      <c r="AV45" s="3"/>
      <c r="AW45" s="140"/>
      <c r="AX45" s="93"/>
      <c r="AY45" s="95"/>
      <c r="AZ45" s="96"/>
      <c r="BA45" s="93"/>
      <c r="BB45" s="95"/>
      <c r="BC45" s="97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</row>
    <row r="46" spans="1:270" s="111" customFormat="1" ht="18" customHeight="1">
      <c r="A46" s="80"/>
      <c r="B46" s="120" t="s">
        <v>131</v>
      </c>
      <c r="C46" s="277" t="s">
        <v>142</v>
      </c>
      <c r="D46" s="516" t="s">
        <v>50</v>
      </c>
      <c r="E46" s="474" t="s">
        <v>143</v>
      </c>
      <c r="F46" s="475" t="s">
        <v>143</v>
      </c>
      <c r="G46" s="475" t="s">
        <v>143</v>
      </c>
      <c r="H46" s="475" t="s">
        <v>143</v>
      </c>
      <c r="I46" s="475" t="s">
        <v>143</v>
      </c>
      <c r="J46" s="343" t="s">
        <v>143</v>
      </c>
      <c r="K46" s="488" t="s">
        <v>143</v>
      </c>
      <c r="L46" s="469" t="s">
        <v>144</v>
      </c>
      <c r="M46" s="474" t="s">
        <v>144</v>
      </c>
      <c r="N46" s="475" t="s">
        <v>144</v>
      </c>
      <c r="O46" s="474" t="s">
        <v>144</v>
      </c>
      <c r="P46" s="475" t="s">
        <v>51</v>
      </c>
      <c r="Q46" s="343" t="s">
        <v>143</v>
      </c>
      <c r="R46" s="474" t="s">
        <v>143</v>
      </c>
      <c r="S46" s="474" t="s">
        <v>143</v>
      </c>
      <c r="T46" s="488" t="s">
        <v>143</v>
      </c>
      <c r="U46" s="475" t="s">
        <v>143</v>
      </c>
      <c r="V46" s="474" t="s">
        <v>143</v>
      </c>
      <c r="W46" s="834" t="s">
        <v>80</v>
      </c>
      <c r="X46" s="343" t="s">
        <v>143</v>
      </c>
      <c r="Y46" s="474" t="s">
        <v>143</v>
      </c>
      <c r="Z46" s="475" t="s">
        <v>143</v>
      </c>
      <c r="AA46" s="474" t="s">
        <v>143</v>
      </c>
      <c r="AB46" s="475" t="s">
        <v>143</v>
      </c>
      <c r="AC46" s="474" t="s">
        <v>143</v>
      </c>
      <c r="AD46" s="512" t="s">
        <v>52</v>
      </c>
      <c r="AE46" s="343" t="s">
        <v>143</v>
      </c>
      <c r="AF46" s="475" t="s">
        <v>143</v>
      </c>
      <c r="AG46" s="475" t="s">
        <v>143</v>
      </c>
      <c r="AH46" s="475"/>
      <c r="AI46" s="194" cm="1">
        <f t="array" ref="AI46">SUM(COUNTIF(D46:AH46,{"DO","DO1","DO2","DO3","DO4","DO5","DO6","DO7","DO8","DO9","DO10"}))</f>
        <v>3</v>
      </c>
      <c r="AJ46" s="100"/>
      <c r="AK46" s="99"/>
      <c r="AL46" s="99"/>
      <c r="AM46" s="101"/>
      <c r="AN46" s="393"/>
      <c r="AO46" s="82">
        <v>4</v>
      </c>
      <c r="AP46" s="174">
        <v>-1</v>
      </c>
      <c r="AQ46" s="184">
        <f>AO46+AP46-AI46</f>
        <v>0</v>
      </c>
      <c r="AR46" s="82">
        <v>1</v>
      </c>
      <c r="AS46" s="188">
        <v>0</v>
      </c>
      <c r="AT46" s="82" cm="1">
        <f t="array" ref="AT46">SUM(COUNTIF(D46:AH46,{"SH1","SH2","SH3","SH4","SH5","SH6","SH7","SH8","SH9","SH10","SH11","SH12","SH13","SH14"}))</f>
        <v>1</v>
      </c>
      <c r="AU46" s="83">
        <f>AR46+AS46-AT46</f>
        <v>0</v>
      </c>
      <c r="AV46" s="3"/>
      <c r="AW46" s="140"/>
      <c r="AX46" s="93"/>
      <c r="AY46" s="95"/>
      <c r="AZ46" s="96"/>
      <c r="BA46" s="93"/>
      <c r="BB46" s="95"/>
      <c r="BC46" s="97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</row>
    <row r="47" spans="1:270" s="111" customFormat="1" ht="18" customHeight="1">
      <c r="A47" s="119">
        <v>6</v>
      </c>
      <c r="B47" s="182"/>
      <c r="C47" s="328"/>
      <c r="D47" s="847" t="s">
        <v>139</v>
      </c>
      <c r="E47" s="477"/>
      <c r="F47" s="476"/>
      <c r="G47" s="470"/>
      <c r="H47" s="476"/>
      <c r="I47" s="855" t="s">
        <v>141</v>
      </c>
      <c r="J47" s="427"/>
      <c r="K47" s="476"/>
      <c r="L47" s="637"/>
      <c r="M47" s="477"/>
      <c r="N47" s="855" t="s">
        <v>141</v>
      </c>
      <c r="O47" s="494"/>
      <c r="P47" s="894" t="s">
        <v>139</v>
      </c>
      <c r="Q47" s="420" t="s">
        <v>70</v>
      </c>
      <c r="R47" s="476" t="s">
        <v>70</v>
      </c>
      <c r="S47" s="477" t="s">
        <v>70</v>
      </c>
      <c r="T47" s="855" t="s">
        <v>141</v>
      </c>
      <c r="U47" s="477"/>
      <c r="V47" s="858"/>
      <c r="W47" s="476"/>
      <c r="X47" s="847" t="s">
        <v>139</v>
      </c>
      <c r="Y47" s="476"/>
      <c r="Z47" s="476"/>
      <c r="AA47" s="477"/>
      <c r="AB47" s="471"/>
      <c r="AC47" s="847" t="s">
        <v>139</v>
      </c>
      <c r="AD47" s="471"/>
      <c r="AE47" s="417"/>
      <c r="AF47" s="856"/>
      <c r="AG47" s="875"/>
      <c r="AH47" s="476"/>
      <c r="AI47" s="193"/>
      <c r="AJ47" s="102"/>
      <c r="AK47" s="134"/>
      <c r="AL47" s="134"/>
      <c r="AM47" s="103"/>
      <c r="AN47" s="398"/>
      <c r="AO47" s="89"/>
      <c r="AP47" s="602"/>
      <c r="AQ47" s="185"/>
      <c r="AR47" s="89"/>
      <c r="AS47" s="189"/>
      <c r="AT47" s="89"/>
      <c r="AU47" s="90"/>
      <c r="AV47" s="3"/>
      <c r="AW47" s="140"/>
      <c r="AX47" s="93"/>
      <c r="AY47" s="95"/>
      <c r="AZ47" s="96"/>
      <c r="BA47" s="93"/>
      <c r="BB47" s="95"/>
      <c r="BC47" s="9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</row>
    <row r="48" spans="1:270" s="111" customFormat="1" ht="18" customHeight="1">
      <c r="A48" s="192"/>
      <c r="B48" s="120" t="s">
        <v>131</v>
      </c>
      <c r="C48" s="277" t="s">
        <v>145</v>
      </c>
      <c r="D48" s="516" t="s">
        <v>143</v>
      </c>
      <c r="E48" s="474" t="s">
        <v>143</v>
      </c>
      <c r="F48" s="475" t="s">
        <v>144</v>
      </c>
      <c r="G48" s="474" t="s">
        <v>144</v>
      </c>
      <c r="H48" s="474" t="s">
        <v>50</v>
      </c>
      <c r="I48" s="475" t="s">
        <v>143</v>
      </c>
      <c r="J48" s="421" t="s">
        <v>143</v>
      </c>
      <c r="K48" s="475" t="s">
        <v>143</v>
      </c>
      <c r="L48" s="591" t="s">
        <v>143</v>
      </c>
      <c r="M48" s="489" t="s">
        <v>143</v>
      </c>
      <c r="N48" s="489" t="s">
        <v>143</v>
      </c>
      <c r="O48" s="489" t="s">
        <v>143</v>
      </c>
      <c r="P48" s="475" t="s">
        <v>143</v>
      </c>
      <c r="Q48" s="409" t="s">
        <v>51</v>
      </c>
      <c r="R48" s="474" t="s">
        <v>52</v>
      </c>
      <c r="S48" s="835" t="s">
        <v>80</v>
      </c>
      <c r="T48" s="488" t="s">
        <v>143</v>
      </c>
      <c r="U48" s="475" t="s">
        <v>143</v>
      </c>
      <c r="V48" s="474" t="s">
        <v>143</v>
      </c>
      <c r="W48" s="475" t="s">
        <v>143</v>
      </c>
      <c r="X48" s="343" t="s">
        <v>143</v>
      </c>
      <c r="Y48" s="474" t="s">
        <v>144</v>
      </c>
      <c r="Z48" s="475" t="s">
        <v>144</v>
      </c>
      <c r="AA48" s="474" t="s">
        <v>53</v>
      </c>
      <c r="AB48" s="475" t="s">
        <v>143</v>
      </c>
      <c r="AC48" s="474" t="s">
        <v>143</v>
      </c>
      <c r="AD48" s="512" t="s">
        <v>143</v>
      </c>
      <c r="AE48" s="343" t="s">
        <v>143</v>
      </c>
      <c r="AF48" s="475" t="s">
        <v>143</v>
      </c>
      <c r="AG48" s="475" t="s">
        <v>54</v>
      </c>
      <c r="AH48" s="475"/>
      <c r="AI48" s="194" cm="1">
        <f t="array" ref="AI48">SUM(COUNTIF(D48:AH48,{"DO","DO1","DO2","DO3","DO4","DO5","DO6","DO7","DO8","DO9","DO10"}))</f>
        <v>5</v>
      </c>
      <c r="AJ48" s="100"/>
      <c r="AK48" s="99"/>
      <c r="AL48" s="99"/>
      <c r="AM48" s="101"/>
      <c r="AN48" s="393"/>
      <c r="AO48" s="82">
        <v>4</v>
      </c>
      <c r="AP48" s="174">
        <v>1</v>
      </c>
      <c r="AQ48" s="184">
        <f>AO48+AP48-AI48</f>
        <v>0</v>
      </c>
      <c r="AR48" s="82">
        <v>1</v>
      </c>
      <c r="AS48" s="188">
        <v>0</v>
      </c>
      <c r="AT48" s="82" cm="1">
        <f t="array" ref="AT48">SUM(COUNTIF(D48:AH48,{"SH1","SH2","SH3","SH4","SH5","SH6","SH7","SH8","SH9","SH10","SH11","SH12","SH13","SH14"}))</f>
        <v>1</v>
      </c>
      <c r="AU48" s="83">
        <f>AR48+AS48-AT48</f>
        <v>0</v>
      </c>
      <c r="AV48" s="3"/>
      <c r="AW48" s="140"/>
      <c r="AX48" s="93"/>
      <c r="AY48" s="95"/>
      <c r="AZ48" s="96"/>
      <c r="BA48" s="93"/>
      <c r="BB48" s="95"/>
      <c r="BC48" s="97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</row>
    <row r="49" spans="1:270" s="111" customFormat="1" ht="18" customHeight="1">
      <c r="A49" s="132">
        <v>7</v>
      </c>
      <c r="B49" s="121"/>
      <c r="C49" s="330" t="s">
        <v>47</v>
      </c>
      <c r="D49" s="515"/>
      <c r="E49" s="468"/>
      <c r="F49" s="469"/>
      <c r="G49" s="468"/>
      <c r="H49" s="849" t="s">
        <v>141</v>
      </c>
      <c r="I49" s="469"/>
      <c r="J49" s="410"/>
      <c r="K49" s="469"/>
      <c r="L49" s="476"/>
      <c r="M49" s="850" t="s">
        <v>140</v>
      </c>
      <c r="N49" s="469"/>
      <c r="O49" s="855" t="s">
        <v>141</v>
      </c>
      <c r="P49" s="470"/>
      <c r="Q49" s="883"/>
      <c r="R49" s="847" t="s">
        <v>139</v>
      </c>
      <c r="S49" s="468"/>
      <c r="T49" s="486"/>
      <c r="U49" s="469"/>
      <c r="V49" s="468"/>
      <c r="W49" s="469"/>
      <c r="X49" s="423"/>
      <c r="Y49" s="855" t="s">
        <v>141</v>
      </c>
      <c r="Z49" s="469"/>
      <c r="AA49" s="468"/>
      <c r="AB49" s="469" t="s">
        <v>70</v>
      </c>
      <c r="AC49" s="468" t="s">
        <v>70</v>
      </c>
      <c r="AD49" s="486"/>
      <c r="AE49" s="409"/>
      <c r="AF49" s="469"/>
      <c r="AG49" s="876" t="s">
        <v>140</v>
      </c>
      <c r="AH49" s="469"/>
      <c r="AI49" s="196"/>
      <c r="AJ49" s="104"/>
      <c r="AK49" s="106"/>
      <c r="AL49" s="106"/>
      <c r="AM49" s="105"/>
      <c r="AN49" s="386"/>
      <c r="AO49" s="93"/>
      <c r="AP49" s="603"/>
      <c r="AQ49" s="191"/>
      <c r="AR49" s="93"/>
      <c r="AS49" s="199"/>
      <c r="AT49" s="93"/>
      <c r="AU49" s="94"/>
      <c r="AV49" s="3"/>
      <c r="AW49" s="140"/>
      <c r="AX49" s="93"/>
      <c r="AY49" s="95"/>
      <c r="AZ49" s="96"/>
      <c r="BA49" s="93"/>
      <c r="BB49" s="95"/>
      <c r="BC49" s="97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</row>
    <row r="50" spans="1:270" s="111" customFormat="1" ht="18" customHeight="1">
      <c r="A50" s="241"/>
      <c r="B50" s="236" t="s">
        <v>131</v>
      </c>
      <c r="C50" s="278" t="s">
        <v>146</v>
      </c>
      <c r="D50" s="516" t="s">
        <v>143</v>
      </c>
      <c r="E50" s="480" t="s">
        <v>50</v>
      </c>
      <c r="F50" s="478" t="s">
        <v>143</v>
      </c>
      <c r="G50" s="480" t="s">
        <v>143</v>
      </c>
      <c r="H50" s="480" t="s">
        <v>143</v>
      </c>
      <c r="I50" s="478" t="s">
        <v>143</v>
      </c>
      <c r="J50" s="428" t="s">
        <v>143</v>
      </c>
      <c r="K50" s="478" t="s">
        <v>51</v>
      </c>
      <c r="L50" s="480" t="s">
        <v>143</v>
      </c>
      <c r="M50" s="478" t="s">
        <v>143</v>
      </c>
      <c r="N50" s="478" t="s">
        <v>143</v>
      </c>
      <c r="O50" s="469" t="s">
        <v>143</v>
      </c>
      <c r="P50" s="472" t="s">
        <v>143</v>
      </c>
      <c r="Q50" s="343" t="s">
        <v>143</v>
      </c>
      <c r="R50" s="489" t="s">
        <v>143</v>
      </c>
      <c r="S50" s="489" t="s">
        <v>143</v>
      </c>
      <c r="T50" s="489" t="s">
        <v>144</v>
      </c>
      <c r="U50" s="478" t="s">
        <v>144</v>
      </c>
      <c r="V50" s="480" t="s">
        <v>147</v>
      </c>
      <c r="W50" s="478" t="s">
        <v>147</v>
      </c>
      <c r="X50" s="628" t="s">
        <v>52</v>
      </c>
      <c r="Y50" s="479" t="s">
        <v>143</v>
      </c>
      <c r="Z50" s="478" t="s">
        <v>143</v>
      </c>
      <c r="AA50" s="480" t="s">
        <v>143</v>
      </c>
      <c r="AB50" s="478" t="s">
        <v>53</v>
      </c>
      <c r="AC50" s="836" t="s">
        <v>80</v>
      </c>
      <c r="AD50" s="479" t="s">
        <v>143</v>
      </c>
      <c r="AE50" s="418" t="s">
        <v>143</v>
      </c>
      <c r="AF50" s="478" t="s">
        <v>54</v>
      </c>
      <c r="AG50" s="478" t="s">
        <v>143</v>
      </c>
      <c r="AH50" s="478"/>
      <c r="AI50" s="210" cm="1">
        <f t="array" ref="AI50">SUM(COUNTIF(D50:AH50,{"DO","DO1","DO2","DO3","DO4","DO5","DO6","DO7","DO8","DO9","DO10"}))</f>
        <v>5</v>
      </c>
      <c r="AJ50" s="211"/>
      <c r="AK50" s="106"/>
      <c r="AL50" s="106"/>
      <c r="AM50" s="105"/>
      <c r="AN50" s="394"/>
      <c r="AO50" s="214">
        <v>4</v>
      </c>
      <c r="AP50" s="215">
        <v>1</v>
      </c>
      <c r="AQ50" s="242">
        <f>AO50+AP50-AI50</f>
        <v>0</v>
      </c>
      <c r="AR50" s="214">
        <v>1</v>
      </c>
      <c r="AS50" s="243">
        <v>0</v>
      </c>
      <c r="AT50" s="82" cm="1">
        <f t="array" ref="AT50">SUM(COUNTIF(D50:AH50,{"SH1","SH2","SH3","SH4","SH5","SH6","SH7","SH8","SH9","SH10","SH11","SH12","SH13","SH14"}))</f>
        <v>1</v>
      </c>
      <c r="AU50" s="216">
        <f>AR50+AS50-AT50</f>
        <v>0</v>
      </c>
      <c r="AV50" s="3"/>
      <c r="AW50" s="140"/>
      <c r="AX50" s="93"/>
      <c r="AY50" s="95"/>
      <c r="AZ50" s="96"/>
      <c r="BA50" s="93"/>
      <c r="BB50" s="95"/>
      <c r="BC50" s="97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</row>
    <row r="51" spans="1:270" s="111" customFormat="1" ht="18" customHeight="1">
      <c r="A51" s="294">
        <v>8</v>
      </c>
      <c r="B51" s="250"/>
      <c r="C51" s="295" t="s">
        <v>47</v>
      </c>
      <c r="D51" s="517"/>
      <c r="E51" s="847" t="s">
        <v>139</v>
      </c>
      <c r="F51" s="519"/>
      <c r="G51" s="518"/>
      <c r="H51" s="847" t="s">
        <v>139</v>
      </c>
      <c r="I51" s="519"/>
      <c r="J51" s="846" t="s">
        <v>141</v>
      </c>
      <c r="K51" s="519"/>
      <c r="L51" s="518"/>
      <c r="M51" s="855" t="s">
        <v>141</v>
      </c>
      <c r="O51" s="850" t="s">
        <v>140</v>
      </c>
      <c r="P51" s="477" t="s">
        <v>70</v>
      </c>
      <c r="Q51" s="417" t="s">
        <v>70</v>
      </c>
      <c r="R51" s="858"/>
      <c r="S51" s="855" t="s">
        <v>141</v>
      </c>
      <c r="T51" s="521"/>
      <c r="U51" s="519"/>
      <c r="V51" s="847" t="s">
        <v>139</v>
      </c>
      <c r="W51" s="519"/>
      <c r="X51" s="446"/>
      <c r="Y51" s="521"/>
      <c r="Z51" s="855" t="s">
        <v>141</v>
      </c>
      <c r="AA51" s="518"/>
      <c r="AB51" s="519"/>
      <c r="AC51" s="518"/>
      <c r="AD51" s="521"/>
      <c r="AE51" s="423"/>
      <c r="AG51" s="497"/>
      <c r="AH51" s="497"/>
      <c r="AI51" s="296"/>
      <c r="AJ51" s="354"/>
      <c r="AK51" s="134"/>
      <c r="AL51" s="134"/>
      <c r="AM51" s="103"/>
      <c r="AN51" s="399"/>
      <c r="AO51" s="297"/>
      <c r="AP51" s="298"/>
      <c r="AQ51" s="299"/>
      <c r="AR51" s="297"/>
      <c r="AS51" s="300"/>
      <c r="AT51" s="89"/>
      <c r="AU51" s="301"/>
      <c r="AV51" s="3"/>
      <c r="AW51" s="140"/>
      <c r="AX51" s="93"/>
      <c r="AY51" s="95"/>
      <c r="AZ51" s="96"/>
      <c r="BA51" s="93"/>
      <c r="BB51" s="95"/>
      <c r="BC51" s="97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</row>
    <row r="52" spans="1:270" s="111" customFormat="1" ht="18" customHeight="1">
      <c r="A52" s="302"/>
      <c r="B52" s="138" t="s">
        <v>131</v>
      </c>
      <c r="C52" s="303" t="s">
        <v>148</v>
      </c>
      <c r="D52" s="522" t="s">
        <v>50</v>
      </c>
      <c r="E52" s="483" t="s">
        <v>143</v>
      </c>
      <c r="F52" s="484" t="s">
        <v>143</v>
      </c>
      <c r="G52" s="483" t="s">
        <v>143</v>
      </c>
      <c r="H52" s="483" t="s">
        <v>143</v>
      </c>
      <c r="I52" s="484" t="s">
        <v>143</v>
      </c>
      <c r="J52" s="424" t="s">
        <v>143</v>
      </c>
      <c r="K52" s="484" t="s">
        <v>143</v>
      </c>
      <c r="L52" s="483" t="s">
        <v>143</v>
      </c>
      <c r="M52" s="484" t="s">
        <v>143</v>
      </c>
      <c r="N52" s="504" t="s">
        <v>143</v>
      </c>
      <c r="O52" s="484" t="s">
        <v>143</v>
      </c>
      <c r="P52" s="483" t="s">
        <v>51</v>
      </c>
      <c r="Q52" s="837" t="s">
        <v>80</v>
      </c>
      <c r="R52" s="506" t="s">
        <v>143</v>
      </c>
      <c r="S52" s="484" t="s">
        <v>143</v>
      </c>
      <c r="T52" s="506" t="s">
        <v>143</v>
      </c>
      <c r="U52" s="839" t="s">
        <v>52</v>
      </c>
      <c r="V52" s="483" t="s">
        <v>143</v>
      </c>
      <c r="W52" s="484" t="s">
        <v>143</v>
      </c>
      <c r="X52" s="419" t="s">
        <v>143</v>
      </c>
      <c r="Y52" s="506" t="s">
        <v>143</v>
      </c>
      <c r="Z52" s="484" t="s">
        <v>143</v>
      </c>
      <c r="AA52" s="483" t="s">
        <v>144</v>
      </c>
      <c r="AB52" s="484" t="s">
        <v>147</v>
      </c>
      <c r="AC52" s="483" t="s">
        <v>147</v>
      </c>
      <c r="AD52" s="506" t="s">
        <v>147</v>
      </c>
      <c r="AE52" s="419" t="s">
        <v>53</v>
      </c>
      <c r="AF52" s="484" t="s">
        <v>143</v>
      </c>
      <c r="AG52" s="484" t="s">
        <v>143</v>
      </c>
      <c r="AH52" s="484"/>
      <c r="AI52" s="197" cm="1">
        <f t="array" ref="AI52">SUM(COUNTIF(D52:AH52,{"DO","DO1","DO2","DO3","DO4","DO5","DO6","DO7","DO8","DO9","DO10"}))</f>
        <v>4</v>
      </c>
      <c r="AJ52" s="355"/>
      <c r="AK52" s="304"/>
      <c r="AL52" s="304"/>
      <c r="AM52" s="115"/>
      <c r="AN52" s="395"/>
      <c r="AO52" s="116">
        <v>4</v>
      </c>
      <c r="AP52" s="176">
        <v>0</v>
      </c>
      <c r="AQ52" s="305">
        <f>AO52+AP52-AI52</f>
        <v>0</v>
      </c>
      <c r="AR52" s="116">
        <v>1</v>
      </c>
      <c r="AS52" s="306">
        <v>0</v>
      </c>
      <c r="AT52" s="116" cm="1">
        <f t="array" ref="AT52">SUM(COUNTIF(D52:AH52,{"SH1","SH2","SH3","SH4","SH5","SH6","SH7","SH8","SH9","SH10","SH11","SH12","SH13","SH14"}))</f>
        <v>1</v>
      </c>
      <c r="AU52" s="117">
        <f>AR52+AS52-AT52</f>
        <v>0</v>
      </c>
      <c r="AV52" s="3"/>
      <c r="AW52" s="140"/>
      <c r="AX52" s="93"/>
      <c r="AY52" s="95"/>
      <c r="AZ52" s="96"/>
      <c r="BA52" s="93"/>
      <c r="BB52" s="95"/>
      <c r="BC52" s="97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</row>
    <row r="53" spans="1:270" s="111" customFormat="1" ht="18" customHeight="1">
      <c r="A53" s="291">
        <v>9</v>
      </c>
      <c r="B53" s="292" t="s">
        <v>107</v>
      </c>
      <c r="C53" s="293" t="s">
        <v>149</v>
      </c>
      <c r="D53" s="843" t="s">
        <v>70</v>
      </c>
      <c r="E53" s="497"/>
      <c r="F53" s="469"/>
      <c r="G53" s="523"/>
      <c r="H53" s="469"/>
      <c r="I53" s="469"/>
      <c r="J53" s="409"/>
      <c r="K53" s="595" t="s">
        <v>141</v>
      </c>
      <c r="L53" s="595" t="s">
        <v>141</v>
      </c>
      <c r="M53" s="847" t="s">
        <v>139</v>
      </c>
      <c r="N53" s="472"/>
      <c r="O53" s="490"/>
      <c r="P53" s="524"/>
      <c r="Q53" s="409"/>
      <c r="R53" s="486"/>
      <c r="S53" s="847" t="s">
        <v>139</v>
      </c>
      <c r="T53" s="468"/>
      <c r="U53" s="525"/>
      <c r="V53" s="858"/>
      <c r="W53" s="473" t="s">
        <v>70</v>
      </c>
      <c r="X53" s="409"/>
      <c r="Y53" s="469"/>
      <c r="Z53" s="469"/>
      <c r="AA53" s="847" t="s">
        <v>139</v>
      </c>
      <c r="AB53" s="469"/>
      <c r="AC53" s="469"/>
      <c r="AD53" s="473"/>
      <c r="AE53" s="846" t="s">
        <v>141</v>
      </c>
      <c r="AF53" s="850" t="s">
        <v>140</v>
      </c>
      <c r="AG53" s="526"/>
      <c r="AH53" s="526"/>
      <c r="AI53" s="196"/>
      <c r="AJ53" s="353"/>
      <c r="AK53" s="106"/>
      <c r="AL53" s="106"/>
      <c r="AM53" s="105"/>
      <c r="AN53" s="386"/>
      <c r="AO53" s="93"/>
      <c r="AP53" s="147"/>
      <c r="AQ53" s="191"/>
      <c r="AR53" s="93"/>
      <c r="AS53" s="199"/>
      <c r="AT53" s="93"/>
      <c r="AU53" s="94"/>
      <c r="AV53" s="3"/>
      <c r="AW53" s="140"/>
      <c r="AX53" s="93"/>
      <c r="AY53" s="95"/>
      <c r="AZ53" s="96"/>
      <c r="BA53" s="93"/>
      <c r="BB53" s="95"/>
      <c r="BC53" s="97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</row>
    <row r="54" spans="1:270" s="111" customFormat="1" ht="18" customHeight="1">
      <c r="A54" s="244" t="s">
        <v>56</v>
      </c>
      <c r="B54" s="245" t="s">
        <v>131</v>
      </c>
      <c r="C54" s="280" t="s">
        <v>150</v>
      </c>
      <c r="D54" s="489" t="s">
        <v>50</v>
      </c>
      <c r="E54" s="489" t="s">
        <v>144</v>
      </c>
      <c r="F54" s="489" t="s">
        <v>144</v>
      </c>
      <c r="G54" s="489" t="s">
        <v>144</v>
      </c>
      <c r="H54" s="489" t="s">
        <v>144</v>
      </c>
      <c r="I54" s="489" t="s">
        <v>144</v>
      </c>
      <c r="J54" s="455" t="s">
        <v>51</v>
      </c>
      <c r="K54" s="527" t="s">
        <v>143</v>
      </c>
      <c r="L54" s="527" t="s">
        <v>143</v>
      </c>
      <c r="M54" s="527" t="s">
        <v>143</v>
      </c>
      <c r="N54" s="528" t="s">
        <v>143</v>
      </c>
      <c r="O54" s="529" t="s">
        <v>143</v>
      </c>
      <c r="P54" s="530" t="s">
        <v>143</v>
      </c>
      <c r="Q54" s="429" t="s">
        <v>143</v>
      </c>
      <c r="R54" s="531" t="s">
        <v>143</v>
      </c>
      <c r="S54" s="527" t="s">
        <v>143</v>
      </c>
      <c r="T54" s="844" t="s">
        <v>80</v>
      </c>
      <c r="U54" s="527" t="s">
        <v>143</v>
      </c>
      <c r="V54" s="527" t="s">
        <v>151</v>
      </c>
      <c r="W54" s="527" t="s">
        <v>52</v>
      </c>
      <c r="X54" s="429" t="s">
        <v>151</v>
      </c>
      <c r="Y54" s="527" t="s">
        <v>143</v>
      </c>
      <c r="Z54" s="527" t="s">
        <v>143</v>
      </c>
      <c r="AA54" s="527" t="s">
        <v>143</v>
      </c>
      <c r="AB54" s="527" t="s">
        <v>143</v>
      </c>
      <c r="AC54" s="527" t="s">
        <v>143</v>
      </c>
      <c r="AD54" s="527" t="s">
        <v>53</v>
      </c>
      <c r="AE54" s="842" t="s">
        <v>143</v>
      </c>
      <c r="AF54" s="527" t="s">
        <v>143</v>
      </c>
      <c r="AG54" s="527" t="s">
        <v>143</v>
      </c>
      <c r="AH54" s="527"/>
      <c r="AI54" s="372" cm="1">
        <f t="array" ref="AI54">SUM(COUNTIF(D54:AH54,{"DO","DO1","DO2","DO3","DO4","DO5","DO6","DO7","DO8","DO9","DO10"}))</f>
        <v>4</v>
      </c>
      <c r="AJ54" s="352"/>
      <c r="AK54" s="106"/>
      <c r="AL54" s="106"/>
      <c r="AM54" s="105"/>
      <c r="AN54" s="386"/>
      <c r="AO54" s="349">
        <v>4</v>
      </c>
      <c r="AP54" s="215">
        <v>0</v>
      </c>
      <c r="AQ54" s="242">
        <f>AO54+AP54-AI54</f>
        <v>0</v>
      </c>
      <c r="AR54" s="214">
        <v>1</v>
      </c>
      <c r="AS54" s="243">
        <v>0</v>
      </c>
      <c r="AT54" s="82" cm="1">
        <f t="array" ref="AT54">SUM(COUNTIF(D54:AH54,{"SH1","SH2","SH3","SH4","SH5","SH6","SH7","SH8","SH9","SH10","SH11","SH12","SH13","SH14"}))</f>
        <v>1</v>
      </c>
      <c r="AU54" s="216">
        <f>AR54+AS54-AT54</f>
        <v>0</v>
      </c>
      <c r="AV54" s="3"/>
      <c r="AW54" s="140"/>
      <c r="AX54" s="93"/>
      <c r="AY54" s="95"/>
      <c r="AZ54" s="96"/>
      <c r="BA54" s="93"/>
      <c r="BB54" s="95"/>
      <c r="BC54" s="97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</row>
    <row r="55" spans="1:270" s="111" customFormat="1" ht="18" customHeight="1">
      <c r="A55" s="246">
        <v>10</v>
      </c>
      <c r="B55" s="247"/>
      <c r="C55" s="279" t="s">
        <v>149</v>
      </c>
      <c r="D55" s="852" t="s">
        <v>140</v>
      </c>
      <c r="E55" s="847" t="s">
        <v>139</v>
      </c>
      <c r="F55" s="906"/>
      <c r="G55" s="477"/>
      <c r="H55" s="850" t="s">
        <v>140</v>
      </c>
      <c r="J55" s="417"/>
      <c r="K55" s="532"/>
      <c r="L55" s="532"/>
      <c r="M55" s="532"/>
      <c r="N55" s="533"/>
      <c r="O55" s="490"/>
      <c r="P55" s="524"/>
      <c r="Q55" s="898"/>
      <c r="R55" s="518" t="s">
        <v>70</v>
      </c>
      <c r="S55" s="518" t="s">
        <v>70</v>
      </c>
      <c r="T55" s="847" t="s">
        <v>139</v>
      </c>
      <c r="U55" s="518"/>
      <c r="V55" s="526"/>
      <c r="W55" s="526"/>
      <c r="X55" s="847" t="s">
        <v>139</v>
      </c>
      <c r="Y55" s="526"/>
      <c r="Z55" s="469"/>
      <c r="AA55" s="469"/>
      <c r="AB55" s="847" t="s">
        <v>139</v>
      </c>
      <c r="AC55" s="469"/>
      <c r="AD55" s="526"/>
      <c r="AE55" s="847" t="s">
        <v>139</v>
      </c>
      <c r="AF55" s="534"/>
      <c r="AG55" s="847" t="s">
        <v>139</v>
      </c>
      <c r="AH55" s="534"/>
      <c r="AI55" s="373"/>
      <c r="AJ55" s="362"/>
      <c r="AK55" s="134"/>
      <c r="AL55" s="134"/>
      <c r="AM55" s="103"/>
      <c r="AN55" s="386"/>
      <c r="AO55" s="350"/>
      <c r="AP55" s="147"/>
      <c r="AQ55" s="191"/>
      <c r="AR55" s="93"/>
      <c r="AS55" s="199"/>
      <c r="AT55" s="89"/>
      <c r="AU55" s="94"/>
      <c r="AV55" s="3"/>
      <c r="AW55" s="140"/>
      <c r="AX55" s="93"/>
      <c r="AY55" s="95"/>
      <c r="AZ55" s="96"/>
      <c r="BA55" s="93"/>
      <c r="BB55" s="95"/>
      <c r="BC55" s="97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</row>
    <row r="56" spans="1:270" s="111" customFormat="1" ht="18" customHeight="1">
      <c r="A56" s="248"/>
      <c r="B56" s="249" t="s">
        <v>131</v>
      </c>
      <c r="C56" s="281" t="s">
        <v>152</v>
      </c>
      <c r="D56" s="493" t="s">
        <v>143</v>
      </c>
      <c r="E56" s="469" t="s">
        <v>143</v>
      </c>
      <c r="F56" s="972" t="s">
        <v>143</v>
      </c>
      <c r="G56" s="472" t="s">
        <v>143</v>
      </c>
      <c r="H56" s="472" t="s">
        <v>143</v>
      </c>
      <c r="I56" s="472" t="s">
        <v>50</v>
      </c>
      <c r="J56" s="343" t="s">
        <v>144</v>
      </c>
      <c r="K56" s="489" t="s">
        <v>144</v>
      </c>
      <c r="L56" s="489" t="s">
        <v>144</v>
      </c>
      <c r="M56" s="489" t="s">
        <v>144</v>
      </c>
      <c r="N56" s="489" t="s">
        <v>144</v>
      </c>
      <c r="O56" s="489" t="s">
        <v>144</v>
      </c>
      <c r="P56" s="543" t="s">
        <v>144</v>
      </c>
      <c r="Q56" s="410" t="s">
        <v>51</v>
      </c>
      <c r="R56" s="590" t="s">
        <v>80</v>
      </c>
      <c r="S56" s="469" t="s">
        <v>52</v>
      </c>
      <c r="T56" s="469" t="s">
        <v>143</v>
      </c>
      <c r="U56" s="469" t="s">
        <v>143</v>
      </c>
      <c r="V56" s="469" t="s">
        <v>143</v>
      </c>
      <c r="W56" s="469" t="s">
        <v>143</v>
      </c>
      <c r="X56" s="409" t="s">
        <v>143</v>
      </c>
      <c r="Y56" s="469" t="s">
        <v>143</v>
      </c>
      <c r="Z56" s="469" t="s">
        <v>143</v>
      </c>
      <c r="AA56" s="469" t="s">
        <v>143</v>
      </c>
      <c r="AB56" s="469" t="s">
        <v>143</v>
      </c>
      <c r="AC56" s="469" t="s">
        <v>53</v>
      </c>
      <c r="AD56" s="469" t="s">
        <v>143</v>
      </c>
      <c r="AE56" s="409" t="s">
        <v>143</v>
      </c>
      <c r="AF56" s="469" t="s">
        <v>143</v>
      </c>
      <c r="AG56" s="469" t="s">
        <v>143</v>
      </c>
      <c r="AH56" s="469"/>
      <c r="AI56" s="372" cm="1">
        <f t="array" ref="AI56">SUM(COUNTIF(D56:AH56,{"DO","DO1","DO2","DO3","DO4","DO5","DO6","DO7","DO8","DO9","DO10"}))</f>
        <v>4</v>
      </c>
      <c r="AJ56" s="363"/>
      <c r="AK56" s="99"/>
      <c r="AL56" s="99"/>
      <c r="AM56" s="101"/>
      <c r="AN56" s="386"/>
      <c r="AO56" s="349">
        <v>4</v>
      </c>
      <c r="AP56" s="215">
        <v>0</v>
      </c>
      <c r="AQ56" s="242">
        <f>AO56+AP56-AI56</f>
        <v>0</v>
      </c>
      <c r="AR56" s="214">
        <v>1</v>
      </c>
      <c r="AS56" s="243">
        <v>0</v>
      </c>
      <c r="AT56" s="82" cm="1">
        <f t="array" ref="AT56">SUM(COUNTIF(D56:AH56,{"SH1","SH2","SH3","SH4","SH5","SH6","SH7","SH8","SH9","SH10","SH11","SH12","SH13","SH14"}))</f>
        <v>1</v>
      </c>
      <c r="AU56" s="216">
        <f>AR56+AS56-AT56</f>
        <v>0</v>
      </c>
      <c r="AV56" s="3"/>
      <c r="AW56" s="140"/>
      <c r="AX56" s="93"/>
      <c r="AY56" s="95"/>
      <c r="AZ56" s="96"/>
      <c r="BA56" s="93"/>
      <c r="BB56" s="95"/>
      <c r="BC56" s="97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</row>
    <row r="57" spans="1:270" s="111" customFormat="1" ht="18" customHeight="1">
      <c r="A57" s="252">
        <v>11</v>
      </c>
      <c r="B57" s="250"/>
      <c r="C57" s="282" t="s">
        <v>149</v>
      </c>
      <c r="D57" s="903"/>
      <c r="E57" s="905"/>
      <c r="F57" s="518"/>
      <c r="G57" s="846" t="s">
        <v>141</v>
      </c>
      <c r="H57" s="520"/>
      <c r="I57" s="519"/>
      <c r="J57" s="859"/>
      <c r="K57" s="858"/>
      <c r="L57" s="536"/>
      <c r="M57" s="535"/>
      <c r="N57" s="518"/>
      <c r="O57" s="472"/>
      <c r="P57" s="847" t="s">
        <v>139</v>
      </c>
      <c r="Q57" s="897"/>
      <c r="R57" s="518"/>
      <c r="S57" s="537"/>
      <c r="T57" s="477"/>
      <c r="U57" s="477"/>
      <c r="V57" s="906"/>
      <c r="W57" s="470" t="s">
        <v>70</v>
      </c>
      <c r="X57" s="447" t="s">
        <v>70</v>
      </c>
      <c r="Y57" s="477" t="s">
        <v>70</v>
      </c>
      <c r="Z57" s="847" t="s">
        <v>139</v>
      </c>
      <c r="AA57" s="476"/>
      <c r="AB57" s="477"/>
      <c r="AC57" s="850" t="s">
        <v>140</v>
      </c>
      <c r="AD57" s="477"/>
      <c r="AE57" s="420"/>
      <c r="AF57" s="877" t="s">
        <v>141</v>
      </c>
      <c r="AG57" s="875"/>
      <c r="AH57" s="477"/>
      <c r="AI57" s="373"/>
      <c r="AJ57" s="364"/>
      <c r="AK57" s="134"/>
      <c r="AL57" s="134"/>
      <c r="AM57" s="103"/>
      <c r="AN57" s="386"/>
      <c r="AO57" s="350"/>
      <c r="AP57" s="147"/>
      <c r="AQ57" s="191"/>
      <c r="AR57" s="93"/>
      <c r="AS57" s="199"/>
      <c r="AT57" s="89"/>
      <c r="AU57" s="94"/>
      <c r="AV57" s="3"/>
      <c r="AW57" s="140"/>
      <c r="AX57" s="93"/>
      <c r="AY57" s="95"/>
      <c r="AZ57" s="96"/>
      <c r="BA57" s="93"/>
      <c r="BB57" s="95"/>
      <c r="BC57" s="9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</row>
    <row r="58" spans="1:270" ht="18" customHeight="1">
      <c r="A58" s="148"/>
      <c r="B58" s="121" t="s">
        <v>131</v>
      </c>
      <c r="C58" s="283" t="s">
        <v>153</v>
      </c>
      <c r="D58" s="538" t="s">
        <v>144</v>
      </c>
      <c r="E58" s="904" t="s">
        <v>50</v>
      </c>
      <c r="F58" s="474" t="s">
        <v>143</v>
      </c>
      <c r="G58" s="475" t="s">
        <v>143</v>
      </c>
      <c r="H58" s="512" t="s">
        <v>143</v>
      </c>
      <c r="I58" s="488" t="s">
        <v>143</v>
      </c>
      <c r="J58" s="408" t="s">
        <v>143</v>
      </c>
      <c r="K58" s="540" t="s">
        <v>143</v>
      </c>
      <c r="L58" s="540" t="s">
        <v>143</v>
      </c>
      <c r="M58" s="539" t="s">
        <v>51</v>
      </c>
      <c r="N58" s="512" t="s">
        <v>143</v>
      </c>
      <c r="O58" s="488" t="s">
        <v>143</v>
      </c>
      <c r="P58" s="475" t="s">
        <v>143</v>
      </c>
      <c r="Q58" s="442" t="s">
        <v>144</v>
      </c>
      <c r="R58" s="489" t="s">
        <v>144</v>
      </c>
      <c r="S58" s="489" t="s">
        <v>144</v>
      </c>
      <c r="T58" s="489" t="s">
        <v>144</v>
      </c>
      <c r="U58" s="489" t="s">
        <v>144</v>
      </c>
      <c r="V58" s="488" t="s">
        <v>144</v>
      </c>
      <c r="W58" s="833" t="s">
        <v>80</v>
      </c>
      <c r="X58" s="408" t="s">
        <v>52</v>
      </c>
      <c r="Y58" s="474" t="s">
        <v>53</v>
      </c>
      <c r="Z58" s="492" t="s">
        <v>143</v>
      </c>
      <c r="AA58" s="469" t="s">
        <v>143</v>
      </c>
      <c r="AB58" s="469" t="s">
        <v>143</v>
      </c>
      <c r="AC58" s="492" t="s">
        <v>143</v>
      </c>
      <c r="AD58" s="492" t="s">
        <v>143</v>
      </c>
      <c r="AE58" s="441" t="s">
        <v>143</v>
      </c>
      <c r="AF58" s="472" t="s">
        <v>143</v>
      </c>
      <c r="AG58" s="472" t="s">
        <v>143</v>
      </c>
      <c r="AH58" s="472"/>
      <c r="AI58" s="372" cm="1">
        <f t="array" ref="AI58">SUM(COUNTIF(D58:AH58,{"DO","DO1","DO2","DO3","DO4","DO5","DO6","DO7","DO8","DO9","DO10"}))</f>
        <v>4</v>
      </c>
      <c r="AJ58" s="142"/>
      <c r="AK58" s="356"/>
      <c r="AL58" s="356"/>
      <c r="AM58" s="381"/>
      <c r="AN58" s="386"/>
      <c r="AO58" s="349">
        <v>4</v>
      </c>
      <c r="AP58" s="215">
        <v>0</v>
      </c>
      <c r="AQ58" s="242">
        <f>AO58+AP58-AI58</f>
        <v>0</v>
      </c>
      <c r="AR58" s="214">
        <v>1</v>
      </c>
      <c r="AS58" s="243">
        <v>0</v>
      </c>
      <c r="AT58" s="82" cm="1">
        <f t="array" ref="AT58">SUM(COUNTIF(D58:AH58,{"SH1","SH2","SH3","SH4","SH5","SH6","SH7","SH8","SH9","SH10","SH11","SH12","SH13","SH14"}))</f>
        <v>1</v>
      </c>
      <c r="AU58" s="216">
        <f>AR58+AS58-AT58</f>
        <v>0</v>
      </c>
      <c r="AW58" s="140"/>
      <c r="AX58" s="93"/>
      <c r="AY58" s="95"/>
      <c r="AZ58" s="96"/>
      <c r="BA58" s="93"/>
      <c r="BB58" s="95"/>
      <c r="BC58" s="97"/>
      <c r="BG58" s="64"/>
      <c r="BH58" s="62"/>
      <c r="BI58" s="62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</row>
    <row r="59" spans="1:270" ht="18" customHeight="1">
      <c r="A59" s="252">
        <v>12</v>
      </c>
      <c r="B59" s="250"/>
      <c r="C59" s="282" t="s">
        <v>154</v>
      </c>
      <c r="D59" s="843"/>
      <c r="E59" s="889"/>
      <c r="F59" s="847" t="s">
        <v>139</v>
      </c>
      <c r="G59" s="468"/>
      <c r="H59" s="468"/>
      <c r="I59" s="847" t="s">
        <v>139</v>
      </c>
      <c r="J59" s="425"/>
      <c r="K59" s="482"/>
      <c r="L59" s="534"/>
      <c r="M59" s="468"/>
      <c r="N59" s="847" t="s">
        <v>139</v>
      </c>
      <c r="O59" s="472" t="s">
        <v>70</v>
      </c>
      <c r="P59" s="636" t="s">
        <v>70</v>
      </c>
      <c r="Q59" s="410"/>
      <c r="R59" s="850" t="s">
        <v>140</v>
      </c>
      <c r="S59" s="472"/>
      <c r="T59" s="498"/>
      <c r="U59" s="855" t="s">
        <v>141</v>
      </c>
      <c r="V59" s="907"/>
      <c r="W59" s="486"/>
      <c r="X59" s="409"/>
      <c r="Y59" s="468"/>
      <c r="Z59" s="520"/>
      <c r="AA59" s="520"/>
      <c r="AB59" s="476"/>
      <c r="AC59" s="521"/>
      <c r="AD59" s="847" t="s">
        <v>139</v>
      </c>
      <c r="AE59" s="452"/>
      <c r="AF59" s="875"/>
      <c r="AG59" s="470"/>
      <c r="AH59" s="476"/>
      <c r="AI59" s="373"/>
      <c r="AJ59" s="365"/>
      <c r="AK59" s="357"/>
      <c r="AL59" s="357"/>
      <c r="AM59" s="382"/>
      <c r="AN59" s="386"/>
      <c r="AO59" s="350"/>
      <c r="AP59" s="147"/>
      <c r="AQ59" s="191"/>
      <c r="AR59" s="93"/>
      <c r="AS59" s="199"/>
      <c r="AT59" s="93"/>
      <c r="AU59" s="94"/>
      <c r="AW59" s="140"/>
      <c r="AX59" s="93"/>
      <c r="AY59" s="95"/>
      <c r="AZ59" s="96"/>
      <c r="BA59" s="93"/>
      <c r="BB59" s="95"/>
      <c r="BC59" s="97"/>
      <c r="BG59" s="64"/>
      <c r="BH59" s="62"/>
      <c r="BI59" s="62"/>
    </row>
    <row r="60" spans="1:270" ht="18" customHeight="1">
      <c r="A60" s="333"/>
      <c r="B60" s="236" t="s">
        <v>131</v>
      </c>
      <c r="C60" s="284" t="s">
        <v>155</v>
      </c>
      <c r="D60" s="538" t="s">
        <v>50</v>
      </c>
      <c r="E60" s="613" t="s">
        <v>143</v>
      </c>
      <c r="F60" s="539" t="s">
        <v>143</v>
      </c>
      <c r="G60" s="474" t="s">
        <v>143</v>
      </c>
      <c r="H60" s="474" t="s">
        <v>143</v>
      </c>
      <c r="I60" s="854" t="s">
        <v>143</v>
      </c>
      <c r="J60" s="408" t="s">
        <v>143</v>
      </c>
      <c r="K60" s="488" t="s">
        <v>143</v>
      </c>
      <c r="L60" s="488" t="s">
        <v>143</v>
      </c>
      <c r="M60" s="488" t="s">
        <v>143</v>
      </c>
      <c r="N60" s="488" t="s">
        <v>143</v>
      </c>
      <c r="O60" s="833" t="s">
        <v>80</v>
      </c>
      <c r="P60" s="475" t="s">
        <v>51</v>
      </c>
      <c r="Q60" s="442" t="s">
        <v>143</v>
      </c>
      <c r="R60" s="489" t="s">
        <v>143</v>
      </c>
      <c r="S60" s="593" t="s">
        <v>143</v>
      </c>
      <c r="T60" s="543" t="s">
        <v>143</v>
      </c>
      <c r="U60" s="542" t="s">
        <v>143</v>
      </c>
      <c r="V60" s="489" t="s">
        <v>52</v>
      </c>
      <c r="W60" s="489" t="s">
        <v>144</v>
      </c>
      <c r="X60" s="592" t="s">
        <v>144</v>
      </c>
      <c r="Y60" s="489" t="s">
        <v>144</v>
      </c>
      <c r="Z60" s="489" t="s">
        <v>144</v>
      </c>
      <c r="AA60" s="479" t="s">
        <v>144</v>
      </c>
      <c r="AB60" s="469" t="s">
        <v>53</v>
      </c>
      <c r="AC60" s="512" t="s">
        <v>143</v>
      </c>
      <c r="AD60" s="472" t="s">
        <v>143</v>
      </c>
      <c r="AE60" s="408" t="s">
        <v>143</v>
      </c>
      <c r="AF60" s="488" t="s">
        <v>143</v>
      </c>
      <c r="AG60" s="488" t="s">
        <v>143</v>
      </c>
      <c r="AH60" s="475"/>
      <c r="AI60" s="372" cm="1">
        <f t="array" ref="AI60">SUM(COUNTIF(D60:AH60,{"DO","DO1","DO2","DO3","DO4","DO5","DO6","DO7","DO8","DO9","DO10"}))</f>
        <v>4</v>
      </c>
      <c r="AJ60" s="142"/>
      <c r="AK60" s="356"/>
      <c r="AL60" s="356"/>
      <c r="AM60" s="381"/>
      <c r="AN60" s="386"/>
      <c r="AO60" s="349">
        <v>4</v>
      </c>
      <c r="AP60" s="215">
        <v>0</v>
      </c>
      <c r="AQ60" s="242">
        <f>AO60+AP60-AI60</f>
        <v>0</v>
      </c>
      <c r="AR60" s="214">
        <v>1</v>
      </c>
      <c r="AS60" s="243">
        <v>0</v>
      </c>
      <c r="AT60" s="82" cm="1">
        <f t="array" ref="AT60">SUM(COUNTIF(D60:AH60,{"SH1","SH2","SH3","SH4","SH5","SH6","SH7","SH8","SH9","SH10","SH11","SH12","SH13","SH14"}))</f>
        <v>1</v>
      </c>
      <c r="AU60" s="216">
        <f>AR60+AS60-AT60</f>
        <v>0</v>
      </c>
      <c r="AW60" s="140"/>
      <c r="AX60" s="93"/>
      <c r="AY60" s="95"/>
      <c r="AZ60" s="96"/>
      <c r="BA60" s="93"/>
      <c r="BB60" s="95"/>
      <c r="BC60" s="97"/>
      <c r="BG60" s="64"/>
      <c r="BH60" s="62"/>
      <c r="BI60" s="62"/>
    </row>
    <row r="61" spans="1:270" ht="18" customHeight="1">
      <c r="A61" s="333">
        <v>13</v>
      </c>
      <c r="B61" s="121"/>
      <c r="C61" s="329" t="s">
        <v>133</v>
      </c>
      <c r="D61" s="871" t="s">
        <v>156</v>
      </c>
      <c r="E61" s="469"/>
      <c r="F61" s="492"/>
      <c r="G61" s="468"/>
      <c r="H61" s="541"/>
      <c r="I61" s="541"/>
      <c r="J61" s="431"/>
      <c r="K61" s="541"/>
      <c r="L61" s="472"/>
      <c r="M61" s="472"/>
      <c r="N61" s="472"/>
      <c r="O61" s="472"/>
      <c r="P61" s="472"/>
      <c r="Q61" s="884" t="s">
        <v>72</v>
      </c>
      <c r="R61" s="885" t="s">
        <v>72</v>
      </c>
      <c r="S61" s="886"/>
      <c r="T61" s="493"/>
      <c r="U61" s="493"/>
      <c r="V61" s="493"/>
      <c r="W61" s="871" t="s">
        <v>156</v>
      </c>
      <c r="X61" s="425"/>
      <c r="Y61" s="871" t="s">
        <v>156</v>
      </c>
      <c r="Z61" s="472"/>
      <c r="AA61" s="472"/>
      <c r="AB61" s="476"/>
      <c r="AC61" s="890"/>
      <c r="AD61" s="476"/>
      <c r="AE61" s="430"/>
      <c r="AF61" s="472"/>
      <c r="AG61" s="472"/>
      <c r="AH61" s="472"/>
      <c r="AI61" s="373"/>
      <c r="AJ61" s="364"/>
      <c r="AK61" s="134"/>
      <c r="AL61" s="134"/>
      <c r="AM61" s="103"/>
      <c r="AN61" s="386"/>
      <c r="AO61" s="350"/>
      <c r="AP61" s="147"/>
      <c r="AQ61" s="191"/>
      <c r="AR61" s="93"/>
      <c r="AS61" s="199"/>
      <c r="AT61" s="93"/>
      <c r="AU61" s="94"/>
      <c r="AW61" s="140"/>
      <c r="AX61" s="93"/>
      <c r="AY61" s="95"/>
      <c r="AZ61" s="96"/>
      <c r="BA61" s="93"/>
      <c r="BB61" s="95"/>
      <c r="BC61" s="97"/>
      <c r="BG61" s="64"/>
      <c r="BH61" s="62"/>
      <c r="BI61" s="62"/>
    </row>
    <row r="62" spans="1:270" ht="18" customHeight="1">
      <c r="A62" s="333"/>
      <c r="B62" s="251" t="s">
        <v>131</v>
      </c>
      <c r="C62" s="285" t="s">
        <v>157</v>
      </c>
      <c r="D62" s="861" t="s">
        <v>137</v>
      </c>
      <c r="E62" s="544"/>
      <c r="F62" s="544"/>
      <c r="G62" s="545"/>
      <c r="H62" s="509"/>
      <c r="I62" s="509"/>
      <c r="J62" s="432"/>
      <c r="K62" s="509"/>
      <c r="L62" s="509"/>
      <c r="M62" s="546"/>
      <c r="N62" s="509"/>
      <c r="O62" s="509"/>
      <c r="P62" s="509"/>
      <c r="Q62" s="432" t="s">
        <v>158</v>
      </c>
      <c r="R62" s="509" t="s">
        <v>138</v>
      </c>
      <c r="S62" s="546"/>
      <c r="T62" s="489"/>
      <c r="U62" s="489"/>
      <c r="V62" s="594"/>
      <c r="W62" s="489" t="s">
        <v>159</v>
      </c>
      <c r="X62" s="425"/>
      <c r="Y62" s="285" t="s">
        <v>157</v>
      </c>
      <c r="Z62" s="472"/>
      <c r="AA62" s="472"/>
      <c r="AB62" s="475"/>
      <c r="AC62" s="285"/>
      <c r="AD62" s="489"/>
      <c r="AE62" s="442"/>
      <c r="AF62" s="489"/>
      <c r="AG62" s="489"/>
      <c r="AH62" s="472"/>
      <c r="AI62" s="372" cm="1">
        <f t="array" ref="AI62">SUM(COUNTIF(D62:AH62,{"DO","DO1","DO2","DO3","DO4","DO5","DO6","DO7","DO8","DO9","DO10"}))</f>
        <v>0</v>
      </c>
      <c r="AJ62" s="366"/>
      <c r="AK62" s="99"/>
      <c r="AL62" s="99"/>
      <c r="AM62" s="101"/>
      <c r="AN62" s="387"/>
      <c r="AO62" s="349">
        <v>0</v>
      </c>
      <c r="AP62" s="215">
        <v>0</v>
      </c>
      <c r="AQ62" s="242">
        <f>AO62+AP62-AI62</f>
        <v>0</v>
      </c>
      <c r="AR62" s="214">
        <v>1</v>
      </c>
      <c r="AS62" s="243">
        <v>0</v>
      </c>
      <c r="AT62" s="82" cm="1">
        <f t="array" ref="AT62">SUM(COUNTIF(D62:AH62,{"SH1","SH2","SH3","SH4","SH5","SH6","SH7","SH8","SH9","SH10","SH11","SH12","SH13","SH14"}))</f>
        <v>0</v>
      </c>
      <c r="AU62" s="216">
        <f>AR62+AS62-AT62</f>
        <v>1</v>
      </c>
      <c r="AW62" s="140"/>
      <c r="AX62" s="93"/>
      <c r="AY62" s="95"/>
      <c r="AZ62" s="96"/>
      <c r="BA62" s="93"/>
      <c r="BB62" s="95"/>
      <c r="BC62" s="97"/>
      <c r="BG62" s="64"/>
      <c r="BH62" s="62"/>
      <c r="BI62" s="62"/>
    </row>
    <row r="63" spans="1:270" ht="18" customHeight="1">
      <c r="A63" s="252">
        <v>14</v>
      </c>
      <c r="B63" s="250"/>
      <c r="C63" s="282" t="s">
        <v>154</v>
      </c>
      <c r="D63" s="856"/>
      <c r="E63" s="547"/>
      <c r="F63" s="548"/>
      <c r="G63" s="847" t="s">
        <v>139</v>
      </c>
      <c r="H63" s="518"/>
      <c r="I63" s="547"/>
      <c r="J63" s="433"/>
      <c r="K63" s="547"/>
      <c r="L63" s="850" t="s">
        <v>140</v>
      </c>
      <c r="M63" s="547"/>
      <c r="N63" s="547"/>
      <c r="O63" s="847" t="s">
        <v>139</v>
      </c>
      <c r="P63" s="547"/>
      <c r="Q63" s="847" t="s">
        <v>139</v>
      </c>
      <c r="R63" s="547"/>
      <c r="S63" s="549"/>
      <c r="T63" s="550"/>
      <c r="U63" s="847" t="s">
        <v>139</v>
      </c>
      <c r="V63" s="477"/>
      <c r="W63" s="847" t="s">
        <v>139</v>
      </c>
      <c r="X63" s="427"/>
      <c r="Y63" s="476" t="s">
        <v>70</v>
      </c>
      <c r="Z63" s="476" t="s">
        <v>70</v>
      </c>
      <c r="AA63" s="476" t="s">
        <v>70</v>
      </c>
      <c r="AB63" s="468"/>
      <c r="AC63" s="477"/>
      <c r="AD63" s="551"/>
      <c r="AE63" s="453"/>
      <c r="AF63" s="553"/>
      <c r="AG63" s="552"/>
      <c r="AH63" s="552"/>
      <c r="AI63" s="374"/>
      <c r="AJ63" s="367"/>
      <c r="AK63" s="134"/>
      <c r="AL63" s="134"/>
      <c r="AM63" s="103"/>
      <c r="AN63" s="387"/>
      <c r="AO63" s="350"/>
      <c r="AP63" s="147"/>
      <c r="AQ63" s="191"/>
      <c r="AR63" s="93"/>
      <c r="AS63" s="199"/>
      <c r="AT63" s="89"/>
      <c r="AU63" s="94"/>
      <c r="AW63" s="140"/>
      <c r="AX63" s="93"/>
      <c r="AY63" s="95"/>
      <c r="AZ63" s="96"/>
      <c r="BA63" s="93"/>
      <c r="BB63" s="95"/>
      <c r="BC63" s="97"/>
      <c r="BG63" s="64"/>
      <c r="BH63" s="62"/>
      <c r="BI63" s="62"/>
    </row>
    <row r="64" spans="1:270" ht="18" customHeight="1">
      <c r="A64" s="309"/>
      <c r="B64" s="310" t="s">
        <v>131</v>
      </c>
      <c r="C64" s="311" t="s">
        <v>160</v>
      </c>
      <c r="D64" s="503" t="s">
        <v>143</v>
      </c>
      <c r="E64" s="554" t="s">
        <v>143</v>
      </c>
      <c r="F64" s="555" t="s">
        <v>143</v>
      </c>
      <c r="G64" s="483" t="s">
        <v>143</v>
      </c>
      <c r="H64" s="848" t="s">
        <v>50</v>
      </c>
      <c r="I64" s="556" t="s">
        <v>143</v>
      </c>
      <c r="J64" s="434" t="s">
        <v>143</v>
      </c>
      <c r="K64" s="556" t="s">
        <v>143</v>
      </c>
      <c r="L64" s="554" t="s">
        <v>143</v>
      </c>
      <c r="M64" s="556" t="s">
        <v>143</v>
      </c>
      <c r="N64" s="848" t="s">
        <v>51</v>
      </c>
      <c r="O64" s="556" t="s">
        <v>143</v>
      </c>
      <c r="P64" s="556" t="s">
        <v>143</v>
      </c>
      <c r="Q64" s="444" t="s">
        <v>143</v>
      </c>
      <c r="R64" s="556" t="s">
        <v>143</v>
      </c>
      <c r="S64" s="557" t="s">
        <v>143</v>
      </c>
      <c r="T64" s="506" t="s">
        <v>143</v>
      </c>
      <c r="U64" s="504" t="s">
        <v>143</v>
      </c>
      <c r="V64" s="484" t="s">
        <v>143</v>
      </c>
      <c r="W64" s="555" t="s">
        <v>143</v>
      </c>
      <c r="X64" s="443" t="s">
        <v>143</v>
      </c>
      <c r="Y64" s="484" t="s">
        <v>52</v>
      </c>
      <c r="Z64" s="555" t="s">
        <v>53</v>
      </c>
      <c r="AA64" s="838" t="s">
        <v>80</v>
      </c>
      <c r="AB64" s="555" t="s">
        <v>144</v>
      </c>
      <c r="AC64" s="555" t="s">
        <v>144</v>
      </c>
      <c r="AD64" s="555" t="s">
        <v>144</v>
      </c>
      <c r="AE64" s="454" t="s">
        <v>144</v>
      </c>
      <c r="AF64" s="504" t="s">
        <v>144</v>
      </c>
      <c r="AG64" s="484" t="s">
        <v>144</v>
      </c>
      <c r="AH64" s="489"/>
      <c r="AI64" s="375" cm="1">
        <f t="array" ref="AI64">SUM(COUNTIF(D64:AH64,{"DO","DO1","DO2","DO3","DO4","DO5","DO6","DO7","DO8","DO9","DO10"}))</f>
        <v>4</v>
      </c>
      <c r="AJ64" s="388"/>
      <c r="AK64" s="304"/>
      <c r="AL64" s="304"/>
      <c r="AM64" s="115"/>
      <c r="AN64" s="389"/>
      <c r="AO64" s="351">
        <v>4</v>
      </c>
      <c r="AP64" s="176">
        <v>0</v>
      </c>
      <c r="AQ64" s="305">
        <f>AO64+AP64-AI64</f>
        <v>0</v>
      </c>
      <c r="AR64" s="116">
        <v>1</v>
      </c>
      <c r="AS64" s="306">
        <v>0</v>
      </c>
      <c r="AT64" s="116" cm="1">
        <f t="array" ref="AT64">SUM(COUNTIF(D64:AH64,{"SH1","SH2","SH3","SH4","SH5","SH6","SH7","SH8","SH9","SH10","SH11","SH12","SH13","SH14"}))</f>
        <v>1</v>
      </c>
      <c r="AU64" s="117">
        <f>AR64+AS64-AT64</f>
        <v>0</v>
      </c>
      <c r="AW64" s="140"/>
      <c r="AX64" s="93"/>
      <c r="AY64" s="95"/>
      <c r="AZ64" s="96"/>
      <c r="BA64" s="93"/>
      <c r="BB64" s="95"/>
      <c r="BC64" s="97"/>
      <c r="BG64" s="64"/>
      <c r="BH64" s="62"/>
      <c r="BI64" s="62"/>
    </row>
    <row r="65" spans="1:61" ht="18" customHeight="1">
      <c r="A65" s="133">
        <v>15</v>
      </c>
      <c r="B65" s="307" t="s">
        <v>107</v>
      </c>
      <c r="C65" s="308" t="s">
        <v>161</v>
      </c>
      <c r="D65" s="468"/>
      <c r="E65" s="469"/>
      <c r="F65" s="469"/>
      <c r="G65" s="469"/>
      <c r="H65" s="595" t="s">
        <v>92</v>
      </c>
      <c r="I65" s="595" t="s">
        <v>92</v>
      </c>
      <c r="J65" s="595" t="s">
        <v>92</v>
      </c>
      <c r="K65" s="595" t="s">
        <v>92</v>
      </c>
      <c r="L65" s="481"/>
      <c r="M65" s="468"/>
      <c r="N65" s="469"/>
      <c r="O65" s="469"/>
      <c r="P65" s="595" t="s">
        <v>92</v>
      </c>
      <c r="Q65" s="595" t="s">
        <v>92</v>
      </c>
      <c r="R65" s="595" t="s">
        <v>92</v>
      </c>
      <c r="S65" s="595" t="s">
        <v>92</v>
      </c>
      <c r="T65" s="468"/>
      <c r="U65" s="468"/>
      <c r="V65" s="468" t="s">
        <v>70</v>
      </c>
      <c r="W65" s="469" t="s">
        <v>70</v>
      </c>
      <c r="X65" s="595" t="s">
        <v>92</v>
      </c>
      <c r="Y65" s="469"/>
      <c r="Z65" s="469"/>
      <c r="AA65" s="468"/>
      <c r="AB65" s="468"/>
      <c r="AC65" s="468"/>
      <c r="AD65" s="486"/>
      <c r="AE65" s="596" t="s">
        <v>92</v>
      </c>
      <c r="AF65" s="486"/>
      <c r="AG65" s="469"/>
      <c r="AH65" s="469"/>
      <c r="AI65" s="376"/>
      <c r="AJ65" s="369"/>
      <c r="AK65" s="92"/>
      <c r="AL65" s="92"/>
      <c r="AM65" s="105"/>
      <c r="AO65" s="93"/>
      <c r="AP65" s="147"/>
      <c r="AQ65" s="94"/>
      <c r="AR65" s="93"/>
      <c r="AS65" s="93"/>
      <c r="AT65" s="93"/>
      <c r="AU65" s="94"/>
      <c r="AW65" s="140"/>
      <c r="AX65" s="93"/>
      <c r="AY65" s="95"/>
      <c r="AZ65" s="96"/>
      <c r="BA65" s="93"/>
      <c r="BB65" s="95"/>
      <c r="BC65" s="97"/>
      <c r="BG65" s="64"/>
      <c r="BH65" s="62"/>
      <c r="BI65" s="62"/>
    </row>
    <row r="66" spans="1:61" ht="18" customHeight="1">
      <c r="A66" s="131" t="s">
        <v>72</v>
      </c>
      <c r="B66" s="120" t="s">
        <v>131</v>
      </c>
      <c r="C66" s="285" t="s">
        <v>162</v>
      </c>
      <c r="D66" s="480" t="s">
        <v>144</v>
      </c>
      <c r="E66" s="469" t="s">
        <v>144</v>
      </c>
      <c r="F66" s="469" t="s">
        <v>144</v>
      </c>
      <c r="G66" s="590" t="s">
        <v>50</v>
      </c>
      <c r="H66" s="472" t="s">
        <v>144</v>
      </c>
      <c r="I66" s="472" t="s">
        <v>144</v>
      </c>
      <c r="J66" s="430" t="s">
        <v>144</v>
      </c>
      <c r="K66" s="472" t="s">
        <v>144</v>
      </c>
      <c r="L66" s="472" t="s">
        <v>144</v>
      </c>
      <c r="M66" s="472" t="s">
        <v>144</v>
      </c>
      <c r="N66" s="472" t="s">
        <v>144</v>
      </c>
      <c r="O66" s="590" t="s">
        <v>51</v>
      </c>
      <c r="P66" s="469" t="s">
        <v>144</v>
      </c>
      <c r="Q66" s="409" t="s">
        <v>144</v>
      </c>
      <c r="R66" s="469" t="s">
        <v>144</v>
      </c>
      <c r="S66" s="469" t="s">
        <v>144</v>
      </c>
      <c r="T66" s="469" t="s">
        <v>147</v>
      </c>
      <c r="U66" s="469" t="s">
        <v>144</v>
      </c>
      <c r="V66" s="590" t="s">
        <v>52</v>
      </c>
      <c r="W66" s="590" t="s">
        <v>80</v>
      </c>
      <c r="X66" s="343" t="s">
        <v>144</v>
      </c>
      <c r="Y66" s="591" t="s">
        <v>144</v>
      </c>
      <c r="Z66" s="591" t="s">
        <v>144</v>
      </c>
      <c r="AA66" s="591" t="s">
        <v>144</v>
      </c>
      <c r="AB66" s="591" t="s">
        <v>144</v>
      </c>
      <c r="AC66" s="591" t="s">
        <v>144</v>
      </c>
      <c r="AD66" s="492" t="s">
        <v>53</v>
      </c>
      <c r="AE66" s="441" t="s">
        <v>144</v>
      </c>
      <c r="AF66" s="486" t="s">
        <v>144</v>
      </c>
      <c r="AG66" s="469" t="s">
        <v>147</v>
      </c>
      <c r="AH66" s="469"/>
      <c r="AI66" s="372" cm="1">
        <f t="array" ref="AI66">SUM(COUNTIF(D66:AH66,{"DO","DO1","DO2","DO3","DO4","DO5","DO6","DO7","DO8","DO9","DO10"}))</f>
        <v>4</v>
      </c>
      <c r="AJ66" s="368"/>
      <c r="AK66" s="81"/>
      <c r="AL66" s="81"/>
      <c r="AM66" s="101"/>
      <c r="AN66" s="98"/>
      <c r="AO66" s="82">
        <v>4</v>
      </c>
      <c r="AP66" s="174">
        <v>0</v>
      </c>
      <c r="AQ66" s="184">
        <f>AO66+AP66-AI66</f>
        <v>0</v>
      </c>
      <c r="AR66" s="82">
        <v>1</v>
      </c>
      <c r="AS66" s="82">
        <v>0</v>
      </c>
      <c r="AT66" s="82" cm="1">
        <f t="array" ref="AT66">SUM(COUNTIF(D66:AH66,{"SH1","SH2","SH3","SH4","SH5","SH6","SH7","SH8","SH9","SH10","SH11","SH12","SH13","SH14"}))</f>
        <v>1</v>
      </c>
      <c r="AU66" s="83">
        <f>AR66+AS66-AT66</f>
        <v>0</v>
      </c>
      <c r="AW66" s="140"/>
      <c r="AX66" s="93"/>
      <c r="AY66" s="95"/>
      <c r="AZ66" s="96"/>
      <c r="BA66" s="93"/>
      <c r="BB66" s="95"/>
      <c r="BC66" s="97"/>
      <c r="BG66" s="64"/>
      <c r="BH66" s="62"/>
      <c r="BI66" s="62"/>
    </row>
    <row r="67" spans="1:61" ht="18" customHeight="1">
      <c r="A67" s="129">
        <v>16</v>
      </c>
      <c r="B67" s="137"/>
      <c r="C67" s="286" t="s">
        <v>161</v>
      </c>
      <c r="D67" s="840" t="s">
        <v>70</v>
      </c>
      <c r="E67" s="850" t="s">
        <v>140</v>
      </c>
      <c r="F67" s="895"/>
      <c r="G67" s="477"/>
      <c r="H67" s="476"/>
      <c r="I67" s="470"/>
      <c r="J67" s="435"/>
      <c r="K67" s="477"/>
      <c r="L67" s="476"/>
      <c r="M67" s="476"/>
      <c r="N67" s="850" t="s">
        <v>140</v>
      </c>
      <c r="O67" s="476"/>
      <c r="P67" s="476"/>
      <c r="Q67" s="417"/>
      <c r="R67" s="476"/>
      <c r="S67" s="476"/>
      <c r="T67" s="476"/>
      <c r="U67" s="470"/>
      <c r="V67" s="850" t="s">
        <v>140</v>
      </c>
      <c r="W67" s="847" t="s">
        <v>139</v>
      </c>
      <c r="X67" s="417"/>
      <c r="Y67" s="476"/>
      <c r="Z67" s="476"/>
      <c r="AA67" s="850" t="s">
        <v>140</v>
      </c>
      <c r="AB67" s="558"/>
      <c r="AC67" s="891" t="s">
        <v>139</v>
      </c>
      <c r="AD67" s="476"/>
      <c r="AE67" s="417"/>
      <c r="AF67" s="470" t="s">
        <v>70</v>
      </c>
      <c r="AG67" s="847" t="s">
        <v>139</v>
      </c>
      <c r="AH67" s="476"/>
      <c r="AI67" s="373"/>
      <c r="AJ67" s="369"/>
      <c r="AK67" s="92"/>
      <c r="AL67" s="92"/>
      <c r="AM67" s="105"/>
      <c r="AN67" s="107"/>
      <c r="AO67" s="89"/>
      <c r="AP67" s="175"/>
      <c r="AQ67" s="90"/>
      <c r="AR67" s="89"/>
      <c r="AS67" s="89"/>
      <c r="AT67" s="89"/>
      <c r="AU67" s="90"/>
      <c r="AW67" s="140"/>
      <c r="AX67" s="93"/>
      <c r="AY67" s="95"/>
      <c r="AZ67" s="96"/>
      <c r="BA67" s="93"/>
      <c r="BB67" s="95"/>
      <c r="BC67" s="97"/>
      <c r="BG67" s="64"/>
      <c r="BH67" s="62"/>
      <c r="BI67" s="62"/>
    </row>
    <row r="68" spans="1:61" ht="18" customHeight="1">
      <c r="A68" s="131"/>
      <c r="B68" s="120" t="s">
        <v>131</v>
      </c>
      <c r="C68" s="285" t="s">
        <v>163</v>
      </c>
      <c r="D68" s="841" t="s">
        <v>50</v>
      </c>
      <c r="E68" s="496" t="s">
        <v>143</v>
      </c>
      <c r="F68" s="500" t="s">
        <v>143</v>
      </c>
      <c r="G68" s="512" t="s">
        <v>143</v>
      </c>
      <c r="H68" s="475" t="s">
        <v>143</v>
      </c>
      <c r="I68" s="488" t="s">
        <v>144</v>
      </c>
      <c r="J68" s="436" t="s">
        <v>144</v>
      </c>
      <c r="K68" s="474" t="s">
        <v>144</v>
      </c>
      <c r="L68" s="475" t="s">
        <v>51</v>
      </c>
      <c r="M68" s="475" t="s">
        <v>143</v>
      </c>
      <c r="N68" s="475" t="s">
        <v>143</v>
      </c>
      <c r="O68" s="475" t="s">
        <v>143</v>
      </c>
      <c r="P68" s="469" t="s">
        <v>164</v>
      </c>
      <c r="Q68" s="343" t="s">
        <v>164</v>
      </c>
      <c r="R68" s="469" t="s">
        <v>164</v>
      </c>
      <c r="S68" s="475" t="s">
        <v>164</v>
      </c>
      <c r="T68" s="475" t="s">
        <v>143</v>
      </c>
      <c r="U68" s="833" t="s">
        <v>52</v>
      </c>
      <c r="V68" s="500" t="s">
        <v>143</v>
      </c>
      <c r="W68" s="468" t="s">
        <v>143</v>
      </c>
      <c r="X68" s="343" t="s">
        <v>143</v>
      </c>
      <c r="Y68" s="469" t="s">
        <v>143</v>
      </c>
      <c r="Z68" s="834" t="s">
        <v>80</v>
      </c>
      <c r="AA68" s="475" t="s">
        <v>143</v>
      </c>
      <c r="AB68" s="469" t="s">
        <v>143</v>
      </c>
      <c r="AC68" s="469" t="s">
        <v>143</v>
      </c>
      <c r="AD68" s="475" t="s">
        <v>144</v>
      </c>
      <c r="AE68" s="343" t="s">
        <v>144</v>
      </c>
      <c r="AF68" s="488" t="s">
        <v>53</v>
      </c>
      <c r="AG68" s="475" t="s">
        <v>143</v>
      </c>
      <c r="AH68" s="475"/>
      <c r="AI68" s="372" cm="1">
        <f t="array" ref="AI68">SUM(COUNTIF(D68:AH68,{"DO","DO1","DO2","DO3","DO4","DO5","DO6","DO7","DO8","DO9","DO10"}))</f>
        <v>4</v>
      </c>
      <c r="AJ68" s="368"/>
      <c r="AK68" s="81"/>
      <c r="AL68" s="81"/>
      <c r="AM68" s="101"/>
      <c r="AN68" s="98"/>
      <c r="AO68" s="82">
        <v>4</v>
      </c>
      <c r="AP68" s="174">
        <v>0</v>
      </c>
      <c r="AQ68" s="184">
        <f>AO68+AP68-AI68</f>
        <v>0</v>
      </c>
      <c r="AR68" s="82">
        <v>1</v>
      </c>
      <c r="AS68" s="82">
        <v>0</v>
      </c>
      <c r="AT68" s="82" cm="1">
        <f t="array" ref="AT68">SUM(COUNTIF(D68:AH68,{"SH1","SH2","SH3","SH4","SH5","SH6","SH7","SH8","SH9","SH10","SH11","SH12","SH13","SH14"}))</f>
        <v>1</v>
      </c>
      <c r="AU68" s="83">
        <f>AR68+AS68-AT68</f>
        <v>0</v>
      </c>
      <c r="AW68" s="140"/>
      <c r="AX68" s="93"/>
      <c r="AY68" s="95"/>
      <c r="AZ68" s="96"/>
      <c r="BA68" s="93"/>
      <c r="BB68" s="95"/>
      <c r="BC68" s="97"/>
      <c r="BG68" s="64"/>
      <c r="BH68" s="62"/>
      <c r="BI68" s="62"/>
    </row>
    <row r="69" spans="1:61" ht="18" customHeight="1">
      <c r="A69" s="133">
        <v>17</v>
      </c>
      <c r="B69" s="121"/>
      <c r="C69" s="287" t="s">
        <v>161</v>
      </c>
      <c r="D69" s="847" t="s">
        <v>139</v>
      </c>
      <c r="E69" s="469"/>
      <c r="F69" s="469"/>
      <c r="G69" s="476"/>
      <c r="H69" s="476"/>
      <c r="I69" s="476"/>
      <c r="J69" s="409"/>
      <c r="K69" s="850" t="s">
        <v>140</v>
      </c>
      <c r="L69" s="470"/>
      <c r="M69" s="470" t="s">
        <v>70</v>
      </c>
      <c r="N69" s="470" t="s">
        <v>70</v>
      </c>
      <c r="O69" s="476"/>
      <c r="P69" s="476"/>
      <c r="Q69" s="417"/>
      <c r="R69" s="476"/>
      <c r="S69" s="476"/>
      <c r="T69" s="476"/>
      <c r="U69" s="850" t="s">
        <v>140</v>
      </c>
      <c r="V69" s="847" t="s">
        <v>139</v>
      </c>
      <c r="W69" s="476"/>
      <c r="X69" s="425"/>
      <c r="Y69" s="850" t="s">
        <v>140</v>
      </c>
      <c r="Z69" s="529"/>
      <c r="AA69" s="892"/>
      <c r="AB69" s="850" t="s">
        <v>140</v>
      </c>
      <c r="AC69" s="882"/>
      <c r="AD69" s="847" t="s">
        <v>139</v>
      </c>
      <c r="AE69" s="417"/>
      <c r="AF69" s="469"/>
      <c r="AG69" s="469"/>
      <c r="AH69" s="469"/>
      <c r="AI69" s="376"/>
      <c r="AJ69" s="369"/>
      <c r="AK69" s="92"/>
      <c r="AL69" s="92"/>
      <c r="AM69" s="105"/>
      <c r="AO69" s="93"/>
      <c r="AP69" s="147"/>
      <c r="AQ69" s="94"/>
      <c r="AR69" s="93"/>
      <c r="AS69" s="93"/>
      <c r="AT69" s="93"/>
      <c r="AU69" s="94"/>
      <c r="AW69" s="140"/>
      <c r="AX69" s="93"/>
      <c r="AY69" s="95"/>
      <c r="AZ69" s="96"/>
      <c r="BA69" s="93"/>
      <c r="BB69" s="95"/>
      <c r="BC69" s="97"/>
      <c r="BG69" s="64"/>
      <c r="BH69" s="62"/>
      <c r="BI69" s="62"/>
    </row>
    <row r="70" spans="1:61" ht="18" customHeight="1">
      <c r="A70" s="133"/>
      <c r="B70" s="121" t="s">
        <v>131</v>
      </c>
      <c r="C70" s="283" t="s">
        <v>165</v>
      </c>
      <c r="D70" s="468" t="s">
        <v>164</v>
      </c>
      <c r="E70" s="469" t="s">
        <v>164</v>
      </c>
      <c r="F70" s="469" t="s">
        <v>164</v>
      </c>
      <c r="G70" s="469" t="s">
        <v>164</v>
      </c>
      <c r="H70" s="469" t="s">
        <v>143</v>
      </c>
      <c r="I70" s="469" t="s">
        <v>164</v>
      </c>
      <c r="J70" s="343" t="s">
        <v>50</v>
      </c>
      <c r="K70" s="475" t="s">
        <v>164</v>
      </c>
      <c r="L70" s="475" t="s">
        <v>164</v>
      </c>
      <c r="M70" s="475" t="s">
        <v>51</v>
      </c>
      <c r="N70" s="834" t="s">
        <v>80</v>
      </c>
      <c r="O70" s="469" t="s">
        <v>144</v>
      </c>
      <c r="P70" s="469" t="s">
        <v>144</v>
      </c>
      <c r="Q70" s="409" t="s">
        <v>144</v>
      </c>
      <c r="R70" s="469" t="s">
        <v>144</v>
      </c>
      <c r="S70" s="469" t="s">
        <v>144</v>
      </c>
      <c r="T70" s="834" t="s">
        <v>52</v>
      </c>
      <c r="U70" s="475" t="s">
        <v>164</v>
      </c>
      <c r="V70" s="488" t="s">
        <v>164</v>
      </c>
      <c r="W70" s="500" t="s">
        <v>164</v>
      </c>
      <c r="X70" s="425" t="s">
        <v>164</v>
      </c>
      <c r="Y70" s="469" t="s">
        <v>164</v>
      </c>
      <c r="Z70" s="529" t="s">
        <v>164</v>
      </c>
      <c r="AA70" s="843" t="s">
        <v>53</v>
      </c>
      <c r="AB70" s="469" t="s">
        <v>143</v>
      </c>
      <c r="AC70" s="469" t="s">
        <v>143</v>
      </c>
      <c r="AD70" s="475" t="s">
        <v>164</v>
      </c>
      <c r="AE70" s="343" t="s">
        <v>164</v>
      </c>
      <c r="AF70" s="469" t="s">
        <v>164</v>
      </c>
      <c r="AG70" s="469" t="s">
        <v>143</v>
      </c>
      <c r="AH70" s="469"/>
      <c r="AI70" s="376" cm="1">
        <f t="array" ref="AI70">SUM(COUNTIF(D70:AH70,{"DO","DO1","DO2","DO3","DO4","DO5","DO6","DO7","DO8","DO9","DO10"}))</f>
        <v>4</v>
      </c>
      <c r="AJ70" s="369"/>
      <c r="AK70" s="92"/>
      <c r="AL70" s="92"/>
      <c r="AM70" s="105"/>
      <c r="AO70" s="93">
        <v>4</v>
      </c>
      <c r="AP70" s="147">
        <v>0</v>
      </c>
      <c r="AQ70" s="191">
        <f>AO70+AP70-AI70</f>
        <v>0</v>
      </c>
      <c r="AR70" s="93">
        <v>1</v>
      </c>
      <c r="AS70" s="93">
        <v>0</v>
      </c>
      <c r="AT70" s="82" cm="1">
        <f t="array" ref="AT70">SUM(COUNTIF(D70:AH70,{"SH1","SH2","SH3","SH4","SH5","SH6","SH7","SH8","SH9","SH10","SH11","SH12","SH13","SH14"}))</f>
        <v>1</v>
      </c>
      <c r="AU70" s="94">
        <f>AR70+AS70-AT70</f>
        <v>0</v>
      </c>
      <c r="AW70" s="140"/>
      <c r="AX70" s="93"/>
      <c r="AY70" s="95"/>
      <c r="AZ70" s="96"/>
      <c r="BA70" s="93"/>
      <c r="BB70" s="95"/>
      <c r="BC70" s="97"/>
      <c r="BG70" s="64"/>
      <c r="BH70" s="62"/>
      <c r="BI70" s="62"/>
    </row>
    <row r="71" spans="1:61" s="122" customFormat="1" ht="15.95" customHeight="1">
      <c r="A71" s="129">
        <v>18</v>
      </c>
      <c r="B71" s="137"/>
      <c r="C71" s="288" t="s">
        <v>161</v>
      </c>
      <c r="D71" s="477"/>
      <c r="E71" s="476"/>
      <c r="F71" s="851" t="s">
        <v>140</v>
      </c>
      <c r="G71" s="476"/>
      <c r="H71" s="476"/>
      <c r="I71" s="476"/>
      <c r="J71" s="410"/>
      <c r="K71" s="549"/>
      <c r="L71" s="476"/>
      <c r="M71" s="476"/>
      <c r="N71" s="476"/>
      <c r="O71" s="476"/>
      <c r="P71" s="476" t="s">
        <v>70</v>
      </c>
      <c r="Q71" s="420" t="s">
        <v>70</v>
      </c>
      <c r="R71" s="476" t="s">
        <v>70</v>
      </c>
      <c r="S71" s="477" t="s">
        <v>70</v>
      </c>
      <c r="T71" s="850" t="s">
        <v>140</v>
      </c>
      <c r="U71" s="858"/>
      <c r="V71" s="558"/>
      <c r="W71" s="469"/>
      <c r="X71" s="417"/>
      <c r="Y71" s="471"/>
      <c r="Z71" s="850" t="s">
        <v>140</v>
      </c>
      <c r="AA71" s="476"/>
      <c r="AB71" s="847" t="s">
        <v>139</v>
      </c>
      <c r="AC71" s="471"/>
      <c r="AD71" s="476"/>
      <c r="AE71" s="417"/>
      <c r="AF71" s="476"/>
      <c r="AG71" s="476"/>
      <c r="AH71" s="476"/>
      <c r="AI71" s="373"/>
      <c r="AJ71" s="364"/>
      <c r="AK71" s="110"/>
      <c r="AL71" s="110"/>
      <c r="AM71" s="103"/>
      <c r="AN71" s="107"/>
      <c r="AO71" s="89"/>
      <c r="AP71" s="175"/>
      <c r="AQ71" s="90"/>
      <c r="AR71" s="89"/>
      <c r="AS71" s="89"/>
      <c r="AT71" s="180"/>
      <c r="AU71" s="90"/>
      <c r="AW71" s="141"/>
      <c r="AX71" s="123"/>
      <c r="AY71" s="124"/>
      <c r="AZ71" s="125"/>
      <c r="BA71" s="123"/>
      <c r="BB71" s="124"/>
      <c r="BC71" s="126"/>
      <c r="BE71" s="127"/>
      <c r="BG71" s="127"/>
      <c r="BH71" s="128"/>
      <c r="BI71" s="128"/>
    </row>
    <row r="72" spans="1:61" s="122" customFormat="1" ht="15.95" customHeight="1" thickBot="1">
      <c r="A72" s="80"/>
      <c r="B72" s="120" t="s">
        <v>131</v>
      </c>
      <c r="C72" s="285" t="s">
        <v>166</v>
      </c>
      <c r="D72" s="474" t="s">
        <v>143</v>
      </c>
      <c r="E72" s="469" t="s">
        <v>143</v>
      </c>
      <c r="F72" s="469" t="s">
        <v>143</v>
      </c>
      <c r="G72" s="469" t="s">
        <v>144</v>
      </c>
      <c r="H72" s="469" t="s">
        <v>144</v>
      </c>
      <c r="I72" s="469" t="s">
        <v>50</v>
      </c>
      <c r="J72" s="409" t="s">
        <v>164</v>
      </c>
      <c r="K72" s="486" t="s">
        <v>143</v>
      </c>
      <c r="L72" s="469" t="s">
        <v>143</v>
      </c>
      <c r="M72" s="469" t="s">
        <v>143</v>
      </c>
      <c r="N72" s="469" t="s">
        <v>164</v>
      </c>
      <c r="O72" s="469" t="s">
        <v>164</v>
      </c>
      <c r="P72" s="590" t="s">
        <v>96</v>
      </c>
      <c r="Q72" s="409" t="s">
        <v>51</v>
      </c>
      <c r="R72" s="469" t="s">
        <v>52</v>
      </c>
      <c r="S72" s="590" t="s">
        <v>80</v>
      </c>
      <c r="T72" s="469" t="s">
        <v>143</v>
      </c>
      <c r="U72" s="469" t="s">
        <v>143</v>
      </c>
      <c r="V72" s="469" t="s">
        <v>144</v>
      </c>
      <c r="W72" s="469" t="s">
        <v>144</v>
      </c>
      <c r="X72" s="409" t="s">
        <v>144</v>
      </c>
      <c r="Y72" s="469" t="s">
        <v>53</v>
      </c>
      <c r="Z72" s="469" t="s">
        <v>143</v>
      </c>
      <c r="AA72" s="469" t="s">
        <v>164</v>
      </c>
      <c r="AB72" s="493" t="s">
        <v>164</v>
      </c>
      <c r="AC72" s="486" t="s">
        <v>143</v>
      </c>
      <c r="AD72" s="469" t="s">
        <v>143</v>
      </c>
      <c r="AE72" s="409" t="s">
        <v>143</v>
      </c>
      <c r="AF72" s="469" t="s">
        <v>143</v>
      </c>
      <c r="AG72" s="469" t="s">
        <v>143</v>
      </c>
      <c r="AH72" s="469"/>
      <c r="AI72" s="376" cm="1">
        <f t="array" ref="AI72">SUM(COUNTIF(D72:AH72,{"DO","DO1","DO2","DO3","DO4","DO5","DO6","DO7","DO8","DO9","DO10"}))</f>
        <v>4</v>
      </c>
      <c r="AJ72" s="368"/>
      <c r="AK72" s="81"/>
      <c r="AL72" s="81"/>
      <c r="AM72" s="101"/>
      <c r="AN72" s="201"/>
      <c r="AO72" s="87">
        <v>4</v>
      </c>
      <c r="AP72" s="204">
        <v>0</v>
      </c>
      <c r="AQ72" s="205">
        <f>AO72+AP72-AI72</f>
        <v>0</v>
      </c>
      <c r="AR72" s="87">
        <v>1</v>
      </c>
      <c r="AS72" s="87">
        <v>0</v>
      </c>
      <c r="AT72" s="87" cm="1">
        <f t="array" ref="AT72">SUM(COUNTIF(D72:AH72,{"SH1","SH2","SH3","SH4","SH5","SH6","SH7","SH8","SH9","SH10","SH11","SH12","SH13","SH14"}))</f>
        <v>1</v>
      </c>
      <c r="AU72" s="206">
        <f>AR72+AS72-AT72</f>
        <v>0</v>
      </c>
      <c r="AW72" s="141"/>
      <c r="AX72" s="123"/>
      <c r="AY72" s="124"/>
      <c r="AZ72" s="125"/>
      <c r="BA72" s="123"/>
      <c r="BB72" s="124"/>
      <c r="BC72" s="126"/>
      <c r="BE72" s="127"/>
      <c r="BG72" s="127"/>
      <c r="BH72" s="128"/>
      <c r="BI72" s="128"/>
    </row>
    <row r="73" spans="1:61" s="122" customFormat="1" ht="15.95" customHeight="1">
      <c r="A73" s="80"/>
      <c r="B73" s="120"/>
      <c r="C73" s="285" t="s">
        <v>161</v>
      </c>
      <c r="D73" s="474"/>
      <c r="E73" s="469"/>
      <c r="F73" s="469"/>
      <c r="G73" s="469"/>
      <c r="H73" s="469"/>
      <c r="I73" s="469"/>
      <c r="J73" s="410"/>
      <c r="K73" s="486"/>
      <c r="L73" s="469"/>
      <c r="M73" s="468"/>
      <c r="N73" s="469"/>
      <c r="O73" s="469"/>
      <c r="P73" s="590"/>
      <c r="Q73" s="410"/>
      <c r="R73" s="469"/>
      <c r="S73" s="973"/>
      <c r="T73" s="468"/>
      <c r="U73" s="469"/>
      <c r="V73" s="468"/>
      <c r="W73" s="469"/>
      <c r="X73" s="425"/>
      <c r="Y73" s="469"/>
      <c r="Z73" s="469"/>
      <c r="AA73" s="468"/>
      <c r="AB73" s="486"/>
      <c r="AC73" s="486"/>
      <c r="AD73" s="472"/>
      <c r="AE73" s="430"/>
      <c r="AF73" s="472"/>
      <c r="AG73" s="472"/>
      <c r="AH73" s="472"/>
      <c r="AI73" s="376"/>
      <c r="AJ73" s="368"/>
      <c r="AK73" s="81"/>
      <c r="AL73" s="81"/>
      <c r="AM73" s="101"/>
      <c r="AN73" s="3"/>
      <c r="AO73" s="93"/>
      <c r="AP73" s="147"/>
      <c r="AQ73" s="191"/>
      <c r="AR73" s="93"/>
      <c r="AS73" s="93"/>
      <c r="AT73" s="93"/>
      <c r="AU73" s="94"/>
      <c r="AW73" s="141"/>
      <c r="AX73" s="123"/>
      <c r="AY73" s="124"/>
      <c r="AZ73" s="125"/>
      <c r="BA73" s="123"/>
      <c r="BB73" s="124"/>
      <c r="BC73" s="126"/>
      <c r="BE73" s="127"/>
      <c r="BG73" s="127"/>
      <c r="BH73" s="128"/>
      <c r="BI73" s="128"/>
    </row>
    <row r="74" spans="1:61" s="122" customFormat="1" ht="15.95" customHeight="1">
      <c r="A74" s="80"/>
      <c r="B74" s="120" t="s">
        <v>131</v>
      </c>
      <c r="C74" s="285" t="s">
        <v>167</v>
      </c>
      <c r="D74" s="474" t="s">
        <v>164</v>
      </c>
      <c r="E74" s="469" t="s">
        <v>164</v>
      </c>
      <c r="F74" s="469" t="s">
        <v>164</v>
      </c>
      <c r="G74" s="469" t="s">
        <v>164</v>
      </c>
      <c r="H74" s="469" t="s">
        <v>50</v>
      </c>
      <c r="I74" s="469" t="s">
        <v>164</v>
      </c>
      <c r="J74" s="410" t="s">
        <v>164</v>
      </c>
      <c r="K74" s="486" t="s">
        <v>164</v>
      </c>
      <c r="L74" s="469" t="s">
        <v>164</v>
      </c>
      <c r="M74" s="468" t="s">
        <v>51</v>
      </c>
      <c r="N74" s="469" t="s">
        <v>164</v>
      </c>
      <c r="O74" s="469" t="s">
        <v>164</v>
      </c>
      <c r="P74" s="972" t="s">
        <v>164</v>
      </c>
      <c r="Q74" s="410" t="s">
        <v>164</v>
      </c>
      <c r="R74" s="469" t="s">
        <v>164</v>
      </c>
      <c r="S74" s="974" t="s">
        <v>164</v>
      </c>
      <c r="T74" s="468" t="s">
        <v>52</v>
      </c>
      <c r="U74" s="469" t="s">
        <v>164</v>
      </c>
      <c r="V74" s="468" t="s">
        <v>164</v>
      </c>
      <c r="W74" s="469" t="s">
        <v>164</v>
      </c>
      <c r="X74" s="425" t="s">
        <v>164</v>
      </c>
      <c r="Y74" s="469" t="s">
        <v>164</v>
      </c>
      <c r="Z74" s="469" t="s">
        <v>164</v>
      </c>
      <c r="AA74" s="468" t="s">
        <v>164</v>
      </c>
      <c r="AB74" s="486" t="s">
        <v>164</v>
      </c>
      <c r="AC74" s="486" t="s">
        <v>53</v>
      </c>
      <c r="AD74" s="472" t="s">
        <v>164</v>
      </c>
      <c r="AE74" s="430" t="s">
        <v>164</v>
      </c>
      <c r="AF74" s="472" t="s">
        <v>164</v>
      </c>
      <c r="AG74" s="612" t="s">
        <v>80</v>
      </c>
      <c r="AH74" s="472"/>
      <c r="AI74" s="376"/>
      <c r="AJ74" s="368"/>
      <c r="AK74" s="81"/>
      <c r="AL74" s="81"/>
      <c r="AM74" s="101"/>
      <c r="AN74" s="3"/>
      <c r="AO74" s="93"/>
      <c r="AP74" s="147"/>
      <c r="AQ74" s="191"/>
      <c r="AR74" s="93"/>
      <c r="AS74" s="93"/>
      <c r="AT74" s="93"/>
      <c r="AU74" s="94"/>
      <c r="AW74" s="141"/>
      <c r="AX74" s="123"/>
      <c r="AY74" s="124"/>
      <c r="AZ74" s="125"/>
      <c r="BA74" s="123"/>
      <c r="BB74" s="124"/>
      <c r="BC74" s="126"/>
      <c r="BE74" s="127"/>
      <c r="BG74" s="127"/>
      <c r="BH74" s="128"/>
      <c r="BI74" s="128"/>
    </row>
    <row r="75" spans="1:61" s="122" customFormat="1" ht="15" customHeight="1">
      <c r="A75" s="345"/>
      <c r="B75" s="346"/>
      <c r="C75" s="347"/>
      <c r="D75" s="459"/>
      <c r="E75" s="460"/>
      <c r="F75" s="460"/>
      <c r="G75" s="460"/>
      <c r="H75" s="460"/>
      <c r="I75" s="461"/>
      <c r="J75" s="462"/>
      <c r="K75" s="460"/>
      <c r="L75" s="463"/>
      <c r="M75" s="464"/>
      <c r="N75" s="463"/>
      <c r="O75" s="460"/>
      <c r="P75" s="463"/>
      <c r="Q75" s="462"/>
      <c r="R75" s="460"/>
      <c r="S75" s="464"/>
      <c r="T75" s="462"/>
      <c r="U75" s="460"/>
      <c r="V75" s="464"/>
      <c r="W75" s="460"/>
      <c r="X75" s="465"/>
      <c r="Y75" s="460"/>
      <c r="Z75" s="460"/>
      <c r="AA75" s="464"/>
      <c r="AB75" s="460"/>
      <c r="AC75" s="464"/>
      <c r="AD75" s="466"/>
      <c r="AE75" s="466"/>
      <c r="AF75" s="467"/>
      <c r="AG75" s="467"/>
      <c r="AH75" s="467"/>
      <c r="AI75" s="400"/>
      <c r="AJ75" s="401"/>
      <c r="AK75" s="402"/>
      <c r="AL75" s="402"/>
      <c r="AM75" s="403"/>
      <c r="AN75" s="404"/>
      <c r="AO75" s="405"/>
      <c r="AP75" s="405"/>
      <c r="AQ75" s="406"/>
      <c r="AR75" s="405"/>
      <c r="AS75" s="405"/>
      <c r="AT75" s="407"/>
      <c r="AU75" s="406"/>
      <c r="AW75" s="141"/>
      <c r="AX75" s="123"/>
      <c r="AY75" s="124"/>
      <c r="AZ75" s="125"/>
      <c r="BA75" s="123"/>
      <c r="BB75" s="124"/>
      <c r="BC75" s="126"/>
      <c r="BE75" s="127"/>
      <c r="BG75" s="127"/>
      <c r="BH75" s="128"/>
      <c r="BI75" s="128"/>
    </row>
    <row r="76" spans="1:61" s="122" customFormat="1" ht="15" customHeight="1" thickBot="1">
      <c r="A76" s="132"/>
      <c r="B76" s="121"/>
      <c r="C76" s="283"/>
      <c r="D76" s="468"/>
      <c r="E76" s="469"/>
      <c r="F76" s="560"/>
      <c r="G76" s="561"/>
      <c r="H76" s="562"/>
      <c r="I76" s="880"/>
      <c r="J76" s="437"/>
      <c r="K76" s="468"/>
      <c r="L76" s="562"/>
      <c r="M76" s="560"/>
      <c r="N76" s="560"/>
      <c r="O76" s="469"/>
      <c r="P76" s="563"/>
      <c r="Q76" s="437"/>
      <c r="R76" s="562"/>
      <c r="S76" s="469"/>
      <c r="T76" s="468"/>
      <c r="U76" s="560"/>
      <c r="V76" s="560"/>
      <c r="W76" s="481"/>
      <c r="X76" s="448"/>
      <c r="Y76" s="564"/>
      <c r="Z76" s="565"/>
      <c r="AA76" s="546"/>
      <c r="AB76" s="560"/>
      <c r="AC76" s="562"/>
      <c r="AD76" s="529"/>
      <c r="AE76" s="455"/>
      <c r="AF76" s="566"/>
      <c r="AG76" s="567"/>
      <c r="AH76" s="567"/>
      <c r="AI76" s="377"/>
      <c r="AJ76" s="364"/>
      <c r="AK76" s="110"/>
      <c r="AL76" s="110"/>
      <c r="AM76" s="103"/>
      <c r="AN76" s="3"/>
      <c r="AO76" s="358"/>
      <c r="AP76" s="358"/>
      <c r="AQ76" s="359"/>
      <c r="AR76" s="358"/>
      <c r="AS76" s="358"/>
      <c r="AT76" s="358"/>
      <c r="AU76" s="359"/>
      <c r="AW76" s="141"/>
      <c r="AX76" s="123"/>
      <c r="AY76" s="124"/>
      <c r="AZ76" s="125"/>
      <c r="BA76" s="123"/>
      <c r="BB76" s="124"/>
      <c r="BC76" s="126"/>
      <c r="BE76" s="127"/>
      <c r="BG76" s="127"/>
      <c r="BH76" s="128"/>
      <c r="BI76" s="128"/>
    </row>
    <row r="77" spans="1:61" ht="18" customHeight="1">
      <c r="A77" s="192"/>
      <c r="B77" s="120"/>
      <c r="C77" s="285"/>
      <c r="D77" s="845" t="s">
        <v>168</v>
      </c>
      <c r="E77" s="475" t="s">
        <v>169</v>
      </c>
      <c r="F77" s="488" t="s">
        <v>170</v>
      </c>
      <c r="G77" s="488" t="s">
        <v>170</v>
      </c>
      <c r="H77" s="853" t="s">
        <v>171</v>
      </c>
      <c r="I77" s="857" t="s">
        <v>170</v>
      </c>
      <c r="J77" s="408" t="s">
        <v>169</v>
      </c>
      <c r="K77" s="869" t="s">
        <v>170</v>
      </c>
      <c r="L77" s="860" t="s">
        <v>170</v>
      </c>
      <c r="M77" s="853" t="s">
        <v>171</v>
      </c>
      <c r="N77" s="860" t="s">
        <v>171</v>
      </c>
      <c r="O77" s="853" t="s">
        <v>171</v>
      </c>
      <c r="P77" s="853" t="s">
        <v>171</v>
      </c>
      <c r="Q77" s="865" t="s">
        <v>170</v>
      </c>
      <c r="R77" s="866" t="s">
        <v>170</v>
      </c>
      <c r="S77" s="860" t="s">
        <v>171</v>
      </c>
      <c r="T77" s="853" t="s">
        <v>171</v>
      </c>
      <c r="U77" s="860" t="s">
        <v>171</v>
      </c>
      <c r="V77" s="869" t="s">
        <v>170</v>
      </c>
      <c r="W77" s="887" t="s">
        <v>170</v>
      </c>
      <c r="X77" s="408" t="s">
        <v>170</v>
      </c>
      <c r="Y77" s="860" t="s">
        <v>171</v>
      </c>
      <c r="Z77" s="860" t="s">
        <v>171</v>
      </c>
      <c r="AA77" s="860" t="s">
        <v>171</v>
      </c>
      <c r="AB77" s="860" t="s">
        <v>171</v>
      </c>
      <c r="AC77" s="488" t="s">
        <v>170</v>
      </c>
      <c r="AD77" s="475" t="s">
        <v>170</v>
      </c>
      <c r="AE77" s="408" t="s">
        <v>170</v>
      </c>
      <c r="AF77" s="853" t="s">
        <v>172</v>
      </c>
      <c r="AG77" s="475" t="s">
        <v>169</v>
      </c>
      <c r="AH77" s="475"/>
      <c r="AI77" s="376" cm="1">
        <f t="array" ref="AI77">SUM(COUNTIF(D77:AH77,{"DO","DO1","DO2","DO3","DO4","DO5","DO6","DO7","DO8","DO9","DO10"}))</f>
        <v>0</v>
      </c>
      <c r="AJ77" s="368"/>
      <c r="AK77" s="81"/>
      <c r="AL77" s="81"/>
      <c r="AM77" s="101"/>
      <c r="AN77" s="217"/>
      <c r="AO77" s="217"/>
      <c r="AP77" s="217"/>
      <c r="AQ77" s="217"/>
      <c r="AR77" s="217"/>
      <c r="AS77" s="217"/>
      <c r="AT77" s="217"/>
      <c r="AU77" s="217"/>
      <c r="AW77" s="140"/>
      <c r="AX77" s="93"/>
      <c r="AY77" s="95"/>
      <c r="AZ77" s="96"/>
      <c r="BA77" s="93"/>
      <c r="BB77" s="95"/>
      <c r="BC77" s="97"/>
      <c r="BG77" s="64"/>
      <c r="BH77" s="62"/>
      <c r="BI77" s="62"/>
    </row>
    <row r="78" spans="1:61" ht="18" customHeight="1">
      <c r="A78" s="133"/>
      <c r="B78" s="121"/>
      <c r="C78" s="283"/>
      <c r="D78" s="468"/>
      <c r="E78" s="476"/>
      <c r="F78" s="558"/>
      <c r="G78" s="477"/>
      <c r="H78" s="476"/>
      <c r="I78" s="485"/>
      <c r="J78" s="438"/>
      <c r="K78" s="881"/>
      <c r="L78" s="863"/>
      <c r="M78" s="569"/>
      <c r="N78" s="569"/>
      <c r="O78" s="569"/>
      <c r="P78" s="476"/>
      <c r="Q78" s="422"/>
      <c r="R78" s="569"/>
      <c r="S78" s="485"/>
      <c r="T78" s="495"/>
      <c r="U78" s="569"/>
      <c r="V78" s="570"/>
      <c r="W78" s="494"/>
      <c r="X78" s="449"/>
      <c r="Y78" s="571"/>
      <c r="Z78" s="572"/>
      <c r="AA78" s="485"/>
      <c r="AB78" s="569"/>
      <c r="AC78" s="498"/>
      <c r="AD78" s="469"/>
      <c r="AE78" s="456"/>
      <c r="AF78" s="878"/>
      <c r="AG78" s="485"/>
      <c r="AH78" s="485"/>
      <c r="AI78" s="378"/>
      <c r="AJ78" s="364"/>
      <c r="AK78" s="110"/>
      <c r="AL78" s="110"/>
      <c r="AM78" s="103"/>
      <c r="AW78" s="140"/>
      <c r="AX78" s="93"/>
      <c r="AY78" s="95"/>
      <c r="AZ78" s="96"/>
      <c r="BA78" s="93"/>
      <c r="BB78" s="95"/>
      <c r="BC78" s="97"/>
      <c r="BG78" s="64"/>
      <c r="BH78" s="62"/>
      <c r="BI78" s="62"/>
    </row>
    <row r="79" spans="1:61" ht="18" customHeight="1">
      <c r="A79" s="133"/>
      <c r="B79" s="120"/>
      <c r="C79" s="283"/>
      <c r="D79" s="489" t="s">
        <v>169</v>
      </c>
      <c r="E79" s="475" t="s">
        <v>169</v>
      </c>
      <c r="F79" s="488" t="s">
        <v>173</v>
      </c>
      <c r="G79" s="488" t="s">
        <v>169</v>
      </c>
      <c r="H79" s="475" t="s">
        <v>169</v>
      </c>
      <c r="I79" s="475" t="s">
        <v>169</v>
      </c>
      <c r="J79" s="408" t="s">
        <v>169</v>
      </c>
      <c r="K79" s="475" t="s">
        <v>169</v>
      </c>
      <c r="L79" s="489" t="s">
        <v>169</v>
      </c>
      <c r="M79" s="512" t="s">
        <v>169</v>
      </c>
      <c r="N79" s="488" t="s">
        <v>169</v>
      </c>
      <c r="O79" s="488" t="s">
        <v>169</v>
      </c>
      <c r="P79" s="488" t="s">
        <v>169</v>
      </c>
      <c r="Q79" s="343" t="s">
        <v>169</v>
      </c>
      <c r="R79" s="469" t="s">
        <v>169</v>
      </c>
      <c r="S79" s="475" t="s">
        <v>169</v>
      </c>
      <c r="T79" s="512" t="s">
        <v>169</v>
      </c>
      <c r="U79" s="488" t="s">
        <v>169</v>
      </c>
      <c r="V79" s="539" t="s">
        <v>169</v>
      </c>
      <c r="W79" s="468" t="s">
        <v>169</v>
      </c>
      <c r="X79" s="426" t="s">
        <v>169</v>
      </c>
      <c r="Y79" s="488" t="s">
        <v>169</v>
      </c>
      <c r="Z79" s="488" t="s">
        <v>169</v>
      </c>
      <c r="AA79" s="475" t="s">
        <v>169</v>
      </c>
      <c r="AB79" s="539" t="s">
        <v>169</v>
      </c>
      <c r="AC79" s="539" t="s">
        <v>169</v>
      </c>
      <c r="AD79" s="488" t="s">
        <v>169</v>
      </c>
      <c r="AE79" s="408" t="s">
        <v>169</v>
      </c>
      <c r="AF79" s="488" t="s">
        <v>169</v>
      </c>
      <c r="AG79" s="475" t="s">
        <v>173</v>
      </c>
      <c r="AH79" s="475"/>
      <c r="AI79" s="376" cm="1">
        <f t="array" ref="AI79">SUM(COUNTIF(D79:AH79,{"DO","DO1","DO2","DO3","DO4","DO5","DO6","DO7","DO8","DO9","DO10"}))</f>
        <v>0</v>
      </c>
      <c r="AJ79" s="370"/>
      <c r="AK79" s="360"/>
      <c r="AL79" s="81"/>
      <c r="AM79" s="101"/>
      <c r="AW79" s="142"/>
      <c r="AX79" s="82"/>
      <c r="AY79" s="84"/>
      <c r="AZ79" s="85"/>
      <c r="BA79" s="82"/>
      <c r="BB79" s="84"/>
      <c r="BC79" s="86"/>
      <c r="BG79" s="64"/>
      <c r="BH79" s="62"/>
      <c r="BI79" s="62"/>
    </row>
    <row r="80" spans="1:61" ht="18" customHeight="1">
      <c r="A80" s="129"/>
      <c r="B80" s="253"/>
      <c r="C80" s="289"/>
      <c r="D80" s="493"/>
      <c r="E80" s="514"/>
      <c r="F80" s="569"/>
      <c r="G80" s="476"/>
      <c r="H80" s="569"/>
      <c r="I80" s="569"/>
      <c r="J80" s="437"/>
      <c r="K80" s="471"/>
      <c r="L80" s="476"/>
      <c r="M80" s="514"/>
      <c r="N80" s="476"/>
      <c r="O80" s="569"/>
      <c r="P80" s="569"/>
      <c r="Q80" s="427"/>
      <c r="R80" s="476"/>
      <c r="S80" s="485"/>
      <c r="T80" s="568"/>
      <c r="U80" s="569"/>
      <c r="V80" s="558"/>
      <c r="W80" s="485"/>
      <c r="X80" s="450"/>
      <c r="Y80" s="569"/>
      <c r="Z80" s="485"/>
      <c r="AA80" s="477"/>
      <c r="AB80" s="559"/>
      <c r="AC80" s="514"/>
      <c r="AD80" s="569"/>
      <c r="AE80" s="457"/>
      <c r="AF80" s="573"/>
      <c r="AG80" s="485"/>
      <c r="AH80" s="485"/>
      <c r="AI80" s="379"/>
      <c r="AJ80" s="371"/>
      <c r="AK80" s="361"/>
      <c r="AL80" s="110"/>
      <c r="AM80" s="103"/>
      <c r="AW80" s="140"/>
      <c r="AX80" s="93"/>
      <c r="AY80" s="95"/>
      <c r="AZ80" s="96"/>
      <c r="BA80" s="93"/>
      <c r="BB80" s="95"/>
      <c r="BC80" s="97"/>
      <c r="BG80" s="64"/>
      <c r="BH80" s="62"/>
      <c r="BI80" s="62"/>
    </row>
    <row r="81" spans="1:61" ht="18" customHeight="1" thickBot="1">
      <c r="A81" s="200"/>
      <c r="B81" s="254"/>
      <c r="C81" s="290"/>
      <c r="D81" s="574" t="s">
        <v>174</v>
      </c>
      <c r="E81" s="575" t="s">
        <v>169</v>
      </c>
      <c r="F81" s="575" t="s">
        <v>169</v>
      </c>
      <c r="G81" s="576" t="s">
        <v>169</v>
      </c>
      <c r="H81" s="575" t="s">
        <v>169</v>
      </c>
      <c r="I81" s="575" t="s">
        <v>174</v>
      </c>
      <c r="J81" s="439" t="s">
        <v>174</v>
      </c>
      <c r="K81" s="578" t="s">
        <v>169</v>
      </c>
      <c r="L81" s="577" t="s">
        <v>169</v>
      </c>
      <c r="M81" s="577" t="s">
        <v>169</v>
      </c>
      <c r="N81" s="577" t="s">
        <v>169</v>
      </c>
      <c r="O81" s="577" t="s">
        <v>169</v>
      </c>
      <c r="P81" s="577" t="s">
        <v>174</v>
      </c>
      <c r="Q81" s="445" t="s">
        <v>174</v>
      </c>
      <c r="R81" s="580" t="s">
        <v>174</v>
      </c>
      <c r="S81" s="580" t="s">
        <v>174</v>
      </c>
      <c r="T81" s="581" t="s">
        <v>169</v>
      </c>
      <c r="U81" s="582" t="s">
        <v>169</v>
      </c>
      <c r="V81" s="583" t="s">
        <v>169</v>
      </c>
      <c r="W81" s="580" t="s">
        <v>174</v>
      </c>
      <c r="X81" s="451" t="s">
        <v>174</v>
      </c>
      <c r="Y81" s="579" t="s">
        <v>169</v>
      </c>
      <c r="Z81" s="576" t="s">
        <v>169</v>
      </c>
      <c r="AA81" s="574" t="s">
        <v>169</v>
      </c>
      <c r="AB81" s="577" t="s">
        <v>169</v>
      </c>
      <c r="AC81" s="579" t="s">
        <v>169</v>
      </c>
      <c r="AD81" s="576" t="s">
        <v>174</v>
      </c>
      <c r="AE81" s="439" t="s">
        <v>169</v>
      </c>
      <c r="AF81" s="584" t="s">
        <v>169</v>
      </c>
      <c r="AG81" s="580" t="s">
        <v>169</v>
      </c>
      <c r="AH81" s="580"/>
      <c r="AI81" s="380" cm="1">
        <f t="array" ref="AI81">SUM(COUNTIF(D81:AH81,{"DO","DO1","DO2","DO3","DO4","DO5","DO6","DO7","DO8","DO9","DO10"}))</f>
        <v>0</v>
      </c>
      <c r="AJ81" s="384"/>
      <c r="AK81" s="385"/>
      <c r="AL81" s="202"/>
      <c r="AM81" s="203"/>
      <c r="AW81" s="140"/>
      <c r="AX81" s="93"/>
      <c r="AY81" s="95"/>
      <c r="AZ81" s="96"/>
      <c r="BA81" s="93"/>
      <c r="BB81" s="95"/>
      <c r="BC81" s="97"/>
      <c r="BG81" s="64"/>
      <c r="BH81" s="62"/>
      <c r="BI81" s="62"/>
    </row>
    <row r="82" spans="1:61" ht="20.25">
      <c r="A82" s="1033" t="s">
        <v>144</v>
      </c>
      <c r="B82" s="1034"/>
      <c r="C82" s="1035"/>
      <c r="D82" s="109" cm="1">
        <f t="array" ref="D82">SUM(COUNTIF(D5:D81,{"7P"}))</f>
        <v>2</v>
      </c>
      <c r="E82" s="109" cm="1">
        <f t="array" ref="E82">SUM(COUNTIF(E5:E81,{"7P"}))</f>
        <v>2</v>
      </c>
      <c r="F82" s="109" cm="1">
        <f t="array" ref="F82">SUM(COUNTIF(F5:F81,{"7P"}))</f>
        <v>3</v>
      </c>
      <c r="G82" s="109" cm="1">
        <f t="array" ref="G82">SUM(COUNTIF(G5:G81,{"7P"}))</f>
        <v>3</v>
      </c>
      <c r="H82" s="109" cm="1">
        <f t="array" ref="H82">SUM(COUNTIF(H5:H81,{"7P"}))</f>
        <v>3</v>
      </c>
      <c r="I82" s="109" cm="1">
        <f t="array" ref="I82">SUM(COUNTIF(I5:I81,{"7P"}))</f>
        <v>3</v>
      </c>
      <c r="J82" s="109" cm="1">
        <f t="array" ref="J82">SUM(COUNTIF(J5:J81,{"7P"}))</f>
        <v>3</v>
      </c>
      <c r="K82" s="109" cm="1">
        <f t="array" ref="K82">SUM(COUNTIF(K5:K81,{"7P"}))</f>
        <v>3</v>
      </c>
      <c r="L82" s="109" cm="1">
        <f t="array" ref="L82">SUM(COUNTIF(L5:L81,{"7P"}))</f>
        <v>3</v>
      </c>
      <c r="M82" s="109" cm="1">
        <f t="array" ref="M82">SUM(COUNTIF(M5:M81,{"7P"}))</f>
        <v>3</v>
      </c>
      <c r="N82" s="109" cm="1">
        <f t="array" ref="N82">SUM(COUNTIF(N5:N81,{"7P"}))</f>
        <v>3</v>
      </c>
      <c r="O82" s="109" cm="1">
        <f t="array" ref="O82">SUM(COUNTIF(O5:O81,{"7P"}))</f>
        <v>3</v>
      </c>
      <c r="P82" s="109" cm="1">
        <f t="array" ref="P82">SUM(COUNTIF(P5:P81,{"7P"}))</f>
        <v>3</v>
      </c>
      <c r="Q82" s="109" cm="1">
        <f t="array" ref="Q82">SUM(COUNTIF(Q5:Q81,{"7P"}))</f>
        <v>3</v>
      </c>
      <c r="R82" s="109" cm="1">
        <f t="array" ref="R82">SUM(COUNTIF(R5:R81,{"7P"}))</f>
        <v>3</v>
      </c>
      <c r="S82" s="109" cm="1">
        <f t="array" ref="S82">SUM(COUNTIF(S5:S81,{"7P"}))</f>
        <v>3</v>
      </c>
      <c r="T82" s="109" cm="1">
        <f t="array" ref="T82">SUM(COUNTIF(T5:T81,{"7P"}))</f>
        <v>2</v>
      </c>
      <c r="U82" s="109" cm="1">
        <f t="array" ref="U82">SUM(COUNTIF(U5:U81,{"7P"}))</f>
        <v>3</v>
      </c>
      <c r="V82" s="109" cm="1">
        <f t="array" ref="V82">SUM(COUNTIF(V5:V81,{"7P"}))</f>
        <v>2</v>
      </c>
      <c r="W82" s="109" cm="1">
        <f t="array" ref="W82">SUM(COUNTIF(W5:W81,{"7P"}))</f>
        <v>2</v>
      </c>
      <c r="X82" s="109" cm="1">
        <f t="array" ref="X82">SUM(COUNTIF(X5:X81,{"7P"}))</f>
        <v>3</v>
      </c>
      <c r="Y82" s="109" cm="1">
        <f t="array" ref="Y82">SUM(COUNTIF(Y5:Y81,{"7P"}))</f>
        <v>3</v>
      </c>
      <c r="Z82" s="109" cm="1">
        <f t="array" ref="Z82">SUM(COUNTIF(Z5:Z81,{"7P"}))</f>
        <v>3</v>
      </c>
      <c r="AA82" s="109" cm="1">
        <f t="array" ref="AA82">SUM(COUNTIF(AA5:AA81,{"7P"}))</f>
        <v>3</v>
      </c>
      <c r="AB82" s="109" cm="1">
        <f t="array" ref="AB82">SUM(COUNTIF(AB5:AB81,{"7P"}))</f>
        <v>2</v>
      </c>
      <c r="AC82" s="109" cm="1">
        <f t="array" ref="AC82">SUM(COUNTIF(AC5:AC81,{"7P"}))</f>
        <v>2</v>
      </c>
      <c r="AD82" s="109" cm="1">
        <f t="array" ref="AD82">SUM(COUNTIF(AD5:AD81,{"7P"}))</f>
        <v>2</v>
      </c>
      <c r="AE82" s="109" cm="1">
        <f t="array" ref="AE82">SUM(COUNTIF(AE5:AE81,{"7P"}))</f>
        <v>3</v>
      </c>
      <c r="AF82" s="348" cm="1">
        <f t="array" ref="AF82">SUM(COUNTIF(AF5:AF81,{"7P"}))</f>
        <v>2</v>
      </c>
      <c r="AG82" s="348" cm="1">
        <f t="array" ref="AG82">SUM(COUNTIF(AG5:AG81,{"7P"}))</f>
        <v>1</v>
      </c>
      <c r="AH82" s="348" cm="1">
        <f t="array" ref="AH82">SUM(COUNTIF(AH5:AH81,{"7P"}))</f>
        <v>0</v>
      </c>
      <c r="AI82" s="383"/>
      <c r="AJ82" s="352"/>
      <c r="AK82" s="352"/>
      <c r="AL82" s="352"/>
      <c r="AM82" s="352"/>
      <c r="AW82" s="142"/>
      <c r="AX82" s="82"/>
      <c r="AY82" s="84"/>
      <c r="AZ82" s="85"/>
      <c r="BA82" s="82"/>
      <c r="BB82" s="84"/>
      <c r="BC82" s="86"/>
      <c r="BG82" s="64"/>
      <c r="BH82" s="62"/>
      <c r="BI82" s="62"/>
    </row>
    <row r="83" spans="1:61" ht="20.25">
      <c r="A83" s="1008" t="s">
        <v>175</v>
      </c>
      <c r="B83" s="1009"/>
      <c r="C83" s="1010"/>
      <c r="D83" s="109" cm="1">
        <f t="array" ref="D83">SUM(COUNTIF(D6:D82,{"DO1","DO2","DO3","DO4","DO5","DO6","DO7","DO8","DO9","DO10","SH1","SH2","SH3","SH4"}))</f>
        <v>8</v>
      </c>
      <c r="E83" s="109" cm="1">
        <f t="array" ref="E83">SUM(COUNTIF(E6:E82,{"DO1","DO2","DO3","DO4","DO5","DO6","DO7","DO8","DO9","DO10","SH1","SH2","SH3","SH4"}))</f>
        <v>4</v>
      </c>
      <c r="F83" s="109" cm="1">
        <f t="array" ref="F83">SUM(COUNTIF(F6:F82,{"DO1","DO2","DO3","DO4","DO5","DO6","DO7","DO8","DO9","DO10","SH1","SH2","SH3","SH4"}))</f>
        <v>3</v>
      </c>
      <c r="G83" s="109" cm="1">
        <f t="array" ref="G83">SUM(COUNTIF(G6:G82,{"DO1","DO2","DO3","DO4","DO5","DO6","DO7","DO8","DO9","DO10","SH1","SH2","SH3","SH4"}))</f>
        <v>4</v>
      </c>
      <c r="H83" s="109" cm="1">
        <f t="array" ref="H83">SUM(COUNTIF(H6:H82,{"DO1","DO2","DO3","DO4","DO5","DO6","DO7","DO8","DO9","DO10","SH1","SH2","SH3","SH4"}))</f>
        <v>4</v>
      </c>
      <c r="I83" s="109" cm="1">
        <f t="array" ref="I83">SUM(COUNTIF(I6:I82,{"DO1","DO2","DO3","DO4","DO5","DO6","DO7","DO8","DO9","DO10","SH1","SH2","SH3","SH4"}))</f>
        <v>3</v>
      </c>
      <c r="J83" s="109" cm="1">
        <f t="array" ref="J83">SUM(COUNTIF(J6:J82,{"DO1","DO2","DO3","DO4","DO5","DO6","DO7","DO8","DO9","DO10","SH1","SH2","SH3","SH4"}))</f>
        <v>9</v>
      </c>
      <c r="K83" s="109" cm="1">
        <f t="array" ref="K83">SUM(COUNTIF(K6:K82,{"DO1","DO2","DO3","DO4","DO5","DO6","DO7","DO8","DO9","DO10","SH1","SH2","SH3","SH4"}))</f>
        <v>4</v>
      </c>
      <c r="L83" s="109" cm="1">
        <f t="array" ref="L83">SUM(COUNTIF(L6:L82,{"DO1","DO2","DO3","DO4","DO5","DO6","DO7","DO8","DO9","DO10","SH1","SH2","SH3","SH4"}))</f>
        <v>3</v>
      </c>
      <c r="M83" s="109" cm="1">
        <f t="array" ref="M83">SUM(COUNTIF(M6:M82,{"DO1","DO2","DO3","DO4","DO5","DO6","DO7","DO8","DO9","DO10","SH1","SH2","SH3","SH4"}))</f>
        <v>5</v>
      </c>
      <c r="N83" s="109" cm="1">
        <f t="array" ref="N83">SUM(COUNTIF(N6:N82,{"DO1","DO2","DO3","DO4","DO5","DO6","DO7","DO8","DO9","DO10","SH1","SH2","SH3","SH4"}))</f>
        <v>3</v>
      </c>
      <c r="O83" s="109" cm="1">
        <f t="array" ref="O83">SUM(COUNTIF(O6:O82,{"DO1","DO2","DO3","DO4","DO5","DO6","DO7","DO8","DO9","DO10","SH1","SH2","SH3","SH4"}))</f>
        <v>3</v>
      </c>
      <c r="P83" s="109" cm="1">
        <f t="array" ref="P83">SUM(COUNTIF(P6:P82,{"DO1","DO2","DO3","DO4","DO5","DO6","DO7","DO8","DO9","DO10","SH1","SH2","SH3","SH4"}))</f>
        <v>6</v>
      </c>
      <c r="Q83" s="109" cm="1">
        <f t="array" ref="Q83">SUM(COUNTIF(Q6:Q82,{"DO1","DO2","DO3","DO4","DO5","DO6","DO7","DO8","DO9","DO10","SH1","SH2","SH3","SH4"}))</f>
        <v>5</v>
      </c>
      <c r="R83" s="109" cm="1">
        <f t="array" ref="R83">SUM(COUNTIF(R6:R82,{"DO1","DO2","DO3","DO4","DO5","DO6","DO7","DO8","DO9","DO10","SH1","SH2","SH3","SH4"}))</f>
        <v>4</v>
      </c>
      <c r="S83" s="109" cm="1">
        <f t="array" ref="S83">SUM(COUNTIF(S6:S82,{"DO1","DO2","DO3","DO4","DO5","DO6","DO7","DO8","DO9","DO10","SH1","SH2","SH3","SH4"}))</f>
        <v>3</v>
      </c>
      <c r="T83" s="109" cm="1">
        <f t="array" ref="T83">SUM(COUNTIF(T6:T82,{"DO1","DO2","DO3","DO4","DO5","DO6","DO7","DO8","DO9","DO10","SH1","SH2","SH3","SH4"}))</f>
        <v>4</v>
      </c>
      <c r="U83" s="109" cm="1">
        <f t="array" ref="U83">SUM(COUNTIF(U6:U82,{"DO1","DO2","DO3","DO4","DO5","DO6","DO7","DO8","DO9","DO10","SH1","SH2","SH3","SH4"}))</f>
        <v>4</v>
      </c>
      <c r="V83" s="109" cm="1">
        <f t="array" ref="V83">SUM(COUNTIF(V6:V82,{"DO1","DO2","DO3","DO4","DO5","DO6","DO7","DO8","DO9","DO10","SH1","SH2","SH3","SH4"}))</f>
        <v>4</v>
      </c>
      <c r="W83" s="109" cm="1">
        <f t="array" ref="W83">SUM(COUNTIF(W6:W82,{"DO1","DO2","DO3","DO4","DO5","DO6","DO7","DO8","DO9","DO10","SH1","SH2","SH3","SH4"}))</f>
        <v>3</v>
      </c>
      <c r="X83" s="109" cm="1">
        <f t="array" ref="X83">SUM(COUNTIF(X6:X82,{"DO1","DO2","DO3","DO4","DO5","DO6","DO7","DO8","DO9","DO10","SH1","SH2","SH3","SH4"}))</f>
        <v>4</v>
      </c>
      <c r="Y83" s="109" cm="1">
        <f t="array" ref="Y83">SUM(COUNTIF(Y6:Y82,{"DO1","DO2","DO3","DO4","DO5","DO6","DO7","DO8","DO9","DO10","SH1","SH2","SH3","SH4"}))</f>
        <v>5</v>
      </c>
      <c r="Z83" s="109" cm="1">
        <f t="array" ref="Z83">SUM(COUNTIF(Z6:Z82,{"DO1","DO2","DO3","DO4","DO5","DO6","DO7","DO8","DO9","DO10","SH1","SH2","SH3","SH4"}))</f>
        <v>3</v>
      </c>
      <c r="AA83" s="109" cm="1">
        <f t="array" ref="AA83">SUM(COUNTIF(AA6:AA82,{"DO1","DO2","DO3","DO4","DO5","DO6","DO7","DO8","DO9","DO10","SH1","SH2","SH3","SH4"}))</f>
        <v>3</v>
      </c>
      <c r="AB83" s="109" cm="1">
        <f t="array" ref="AB83">SUM(COUNTIF(AB6:AB82,{"DO1","DO2","DO3","DO4","DO5","DO6","DO7","DO8","DO9","DO10","SH1","SH2","SH3","SH4"}))</f>
        <v>4</v>
      </c>
      <c r="AC83" s="109" cm="1">
        <f t="array" ref="AC83">SUM(COUNTIF(AC6:AC82,{"DO1","DO2","DO3","DO4","DO5","DO6","DO7","DO8","DO9","DO10","SH1","SH2","SH3","SH4"}))</f>
        <v>3</v>
      </c>
      <c r="AD83" s="109" cm="1">
        <f t="array" ref="AD83">SUM(COUNTIF(AD6:AD82,{"DO1","DO2","DO3","DO4","DO5","DO6","DO7","DO8","DO9","DO10","SH1","SH2","SH3","SH4"}))</f>
        <v>4</v>
      </c>
      <c r="AE83" s="109" cm="1">
        <f t="array" ref="AE83">SUM(COUNTIF(AE6:AE82,{"DO1","DO2","DO3","DO4","DO5","DO6","DO7","DO8","DO9","DO10","SH1","SH2","SH3","SH4"}))</f>
        <v>3</v>
      </c>
      <c r="AF83" s="109" cm="1">
        <f t="array" ref="AF83">SUM(COUNTIF(AF6:AF82,{"DO1","DO2","DO3","DO4","DO5","DO6","DO7","DO8","DO9","DO10","SH1","SH2","SH3","SH4"}))</f>
        <v>3</v>
      </c>
      <c r="AG83" s="109" cm="1">
        <f t="array" ref="AG83">SUM(COUNTIF(AG6:AG82,{"DO1","DO2","DO3","DO4","DO5","DO6","DO7","DO8","DO9","DO10","SH1","SH2","SH3","SH4"}))</f>
        <v>4</v>
      </c>
      <c r="AH83" s="109" cm="1">
        <f t="array" ref="AH83">SUM(COUNTIF(AH6:AH82,{"DO1","DO2","DO3","DO4","DO5","DO6","DO7","DO8","DO9","DO10","SH1","SH2","SH3","SH4"}))</f>
        <v>0</v>
      </c>
      <c r="AI83" s="2"/>
      <c r="AJ83" s="352"/>
      <c r="AK83" s="352"/>
      <c r="AL83" s="352"/>
      <c r="AM83" s="352"/>
      <c r="AW83" s="142"/>
      <c r="AX83" s="82"/>
      <c r="AY83" s="84"/>
      <c r="AZ83" s="85"/>
      <c r="BA83" s="82"/>
      <c r="BB83" s="84"/>
      <c r="BC83" s="86"/>
      <c r="BG83" s="64"/>
      <c r="BH83" s="62"/>
      <c r="BI83" s="62"/>
    </row>
    <row r="84" spans="1:61" ht="35.25">
      <c r="A84" s="1008" t="s">
        <v>96</v>
      </c>
      <c r="B84" s="1009"/>
      <c r="C84" s="1010"/>
      <c r="D84" s="109" cm="1">
        <f t="array" ref="D84">SUM(COUNTIF(D7:D83,{"AL"}))</f>
        <v>0</v>
      </c>
      <c r="E84" s="109" cm="1">
        <f t="array" ref="E84">SUM(COUNTIF(E7:E83,{"AL"}))</f>
        <v>0</v>
      </c>
      <c r="F84" s="109" cm="1">
        <f t="array" ref="F84">SUM(COUNTIF(F7:F83,{"AL"}))</f>
        <v>0</v>
      </c>
      <c r="G84" s="109" cm="1">
        <f t="array" ref="G84">SUM(COUNTIF(G7:G83,{"AL"}))</f>
        <v>0</v>
      </c>
      <c r="H84" s="109" cm="1">
        <f t="array" ref="H84">SUM(COUNTIF(H7:H83,{"AL"}))</f>
        <v>0</v>
      </c>
      <c r="I84" s="109" cm="1">
        <f t="array" ref="I84">SUM(COUNTIF(I7:I83,{"AL"}))</f>
        <v>0</v>
      </c>
      <c r="J84" s="109" cm="1">
        <f t="array" ref="J84">SUM(COUNTIF(J7:J83,{"AL"}))</f>
        <v>0</v>
      </c>
      <c r="K84" s="109" cm="1">
        <f t="array" ref="K84">SUM(COUNTIF(K7:K83,{"AL"}))</f>
        <v>0</v>
      </c>
      <c r="L84" s="109" cm="1">
        <f t="array" ref="L84">SUM(COUNTIF(L7:L83,{"AL"}))</f>
        <v>0</v>
      </c>
      <c r="M84" s="109" cm="1">
        <f t="array" ref="M84">SUM(COUNTIF(M7:M83,{"AL"}))</f>
        <v>0</v>
      </c>
      <c r="N84" s="109" cm="1">
        <f t="array" ref="N84">SUM(COUNTIF(N7:N83,{"AL"}))</f>
        <v>0</v>
      </c>
      <c r="O84" s="109" cm="1">
        <f t="array" ref="O84">SUM(COUNTIF(O7:O83,{"AL"}))</f>
        <v>0</v>
      </c>
      <c r="P84" s="109" cm="1">
        <f t="array" ref="P84">SUM(COUNTIF(P7:P83,{"AL"}))</f>
        <v>1</v>
      </c>
      <c r="Q84" s="109" cm="1">
        <f t="array" ref="Q84">SUM(COUNTIF(Q7:Q83,{"AL"}))</f>
        <v>0</v>
      </c>
      <c r="R84" s="109" cm="1">
        <f t="array" ref="R84">SUM(COUNTIF(R7:R83,{"AL"}))</f>
        <v>0</v>
      </c>
      <c r="S84" s="109" cm="1">
        <f t="array" ref="S84">SUM(COUNTIF(S7:S83,{"AL"}))</f>
        <v>0</v>
      </c>
      <c r="T84" s="109" cm="1">
        <f t="array" ref="T84">SUM(COUNTIF(T7:T83,{"AL"}))</f>
        <v>0</v>
      </c>
      <c r="U84" s="109" cm="1">
        <f t="array" ref="U84">SUM(COUNTIF(U7:U83,{"AL"}))</f>
        <v>0</v>
      </c>
      <c r="V84" s="109" cm="1">
        <f t="array" ref="V84">SUM(COUNTIF(V7:V83,{"AL"}))</f>
        <v>1</v>
      </c>
      <c r="W84" s="109" cm="1">
        <f t="array" ref="W84">SUM(COUNTIF(W7:W83,{"AL"}))</f>
        <v>1</v>
      </c>
      <c r="X84" s="109" cm="1">
        <f t="array" ref="X84">SUM(COUNTIF(X7:X83,{"AL"}))</f>
        <v>1</v>
      </c>
      <c r="Y84" s="109" cm="1">
        <f t="array" ref="Y84">SUM(COUNTIF(Y7:Y83,{"AL"}))</f>
        <v>0</v>
      </c>
      <c r="Z84" s="109" cm="1">
        <f t="array" ref="Z84">SUM(COUNTIF(Z7:Z83,{"AL"}))</f>
        <v>0</v>
      </c>
      <c r="AA84" s="109" cm="1">
        <f t="array" ref="AA84">SUM(COUNTIF(AA7:AA83,{"AL"}))</f>
        <v>0</v>
      </c>
      <c r="AB84" s="109" cm="1">
        <f t="array" ref="AB84">SUM(COUNTIF(AB7:AB83,{"AL"}))</f>
        <v>0</v>
      </c>
      <c r="AC84" s="109" cm="1">
        <f t="array" ref="AC84">SUM(COUNTIF(AC7:AC83,{"AL"}))</f>
        <v>0</v>
      </c>
      <c r="AD84" s="109" cm="1">
        <f t="array" ref="AD84">SUM(COUNTIF(AD7:AD83,{"AL"}))</f>
        <v>0</v>
      </c>
      <c r="AE84" s="109" cm="1">
        <f t="array" ref="AE84">SUM(COUNTIF(AE7:AE83,{"AL"}))</f>
        <v>0</v>
      </c>
      <c r="AF84" s="109" cm="1">
        <f t="array" ref="AF84">SUM(COUNTIF(AF7:AF83,{"AL"}))</f>
        <v>0</v>
      </c>
      <c r="AG84" s="109" cm="1">
        <f t="array" ref="AG84">SUM(COUNTIF(AG7:AG83,{"AL"}))</f>
        <v>0</v>
      </c>
      <c r="AH84" s="109" cm="1">
        <f t="array" ref="AH84">SUM(COUNTIF(AH7:AH83,{"AL"}))</f>
        <v>0</v>
      </c>
      <c r="AI84" s="218"/>
      <c r="AJ84" s="352"/>
      <c r="AK84" s="352"/>
      <c r="AL84" s="352"/>
      <c r="AM84" s="352"/>
      <c r="AW84" s="144"/>
      <c r="AX84" s="8"/>
      <c r="AY84" s="74"/>
      <c r="AZ84" s="73"/>
      <c r="BA84" s="8"/>
      <c r="BB84" s="74"/>
      <c r="BC84" s="78"/>
      <c r="BG84" s="64"/>
      <c r="BH84" s="62"/>
      <c r="BI84" s="62"/>
    </row>
    <row r="85" spans="1:61" ht="30" customHeight="1" thickBot="1">
      <c r="A85" s="1036" t="s">
        <v>176</v>
      </c>
      <c r="B85" s="1037"/>
      <c r="C85" s="1038"/>
      <c r="D85" s="109" cm="1">
        <f t="array" ref="D85">SUM(COUNTIF(D8:D84,{"SL"}))</f>
        <v>0</v>
      </c>
      <c r="E85" s="109" cm="1">
        <f t="array" ref="E85">SUM(COUNTIF(E8:E84,{"SL"}))</f>
        <v>0</v>
      </c>
      <c r="F85" s="109" cm="1">
        <f t="array" ref="F85">SUM(COUNTIF(F8:F84,{"SL"}))</f>
        <v>0</v>
      </c>
      <c r="G85" s="109" cm="1">
        <f t="array" ref="G85">SUM(COUNTIF(G8:G84,{"SL"}))</f>
        <v>0</v>
      </c>
      <c r="H85" s="109" cm="1">
        <f t="array" ref="H85">SUM(COUNTIF(H8:H84,{"SL"}))</f>
        <v>0</v>
      </c>
      <c r="I85" s="109" cm="1">
        <f t="array" ref="I85">SUM(COUNTIF(I8:I84,{"SL"}))</f>
        <v>0</v>
      </c>
      <c r="J85" s="109" cm="1">
        <f t="array" ref="J85">SUM(COUNTIF(J8:J84,{"SL"}))</f>
        <v>0</v>
      </c>
      <c r="K85" s="109" cm="1">
        <f t="array" ref="K85">SUM(COUNTIF(K8:K84,{"SL"}))</f>
        <v>0</v>
      </c>
      <c r="L85" s="109" cm="1">
        <f t="array" ref="L85">SUM(COUNTIF(L8:L84,{"SL"}))</f>
        <v>0</v>
      </c>
      <c r="M85" s="109" cm="1">
        <f t="array" ref="M85">SUM(COUNTIF(M8:M84,{"SL"}))</f>
        <v>0</v>
      </c>
      <c r="N85" s="109" cm="1">
        <f t="array" ref="N85">SUM(COUNTIF(N8:N84,{"SL"}))</f>
        <v>0</v>
      </c>
      <c r="O85" s="109" cm="1">
        <f t="array" ref="O85">SUM(COUNTIF(O8:O84,{"SL"}))</f>
        <v>0</v>
      </c>
      <c r="P85" s="109" cm="1">
        <f t="array" ref="P85">SUM(COUNTIF(P8:P84,{"SL"}))</f>
        <v>0</v>
      </c>
      <c r="Q85" s="109" cm="1">
        <f t="array" ref="Q85">SUM(COUNTIF(Q8:Q84,{"SL"}))</f>
        <v>0</v>
      </c>
      <c r="R85" s="109" cm="1">
        <f t="array" ref="R85">SUM(COUNTIF(R8:R84,{"SL"}))</f>
        <v>0</v>
      </c>
      <c r="S85" s="109" cm="1">
        <f t="array" ref="S85">SUM(COUNTIF(S8:S84,{"SL"}))</f>
        <v>0</v>
      </c>
      <c r="T85" s="109" cm="1">
        <f t="array" ref="T85">SUM(COUNTIF(T8:T84,{"SL"}))</f>
        <v>0</v>
      </c>
      <c r="U85" s="109" cm="1">
        <f t="array" ref="U85">SUM(COUNTIF(U8:U84,{"SL"}))</f>
        <v>0</v>
      </c>
      <c r="V85" s="109" cm="1">
        <f t="array" ref="V85">SUM(COUNTIF(V8:V84,{"SL"}))</f>
        <v>0</v>
      </c>
      <c r="W85" s="109" cm="1">
        <f t="array" ref="W85">SUM(COUNTIF(W8:W84,{"SL"}))</f>
        <v>0</v>
      </c>
      <c r="X85" s="109" cm="1">
        <f t="array" ref="X85">SUM(COUNTIF(X8:X84,{"SL"}))</f>
        <v>0</v>
      </c>
      <c r="Y85" s="109" cm="1">
        <f t="array" ref="Y85">SUM(COUNTIF(Y8:Y84,{"SL"}))</f>
        <v>0</v>
      </c>
      <c r="Z85" s="109" cm="1">
        <f t="array" ref="Z85">SUM(COUNTIF(Z8:Z84,{"SL"}))</f>
        <v>0</v>
      </c>
      <c r="AA85" s="109" cm="1">
        <f t="array" ref="AA85">SUM(COUNTIF(AA8:AA84,{"SL"}))</f>
        <v>0</v>
      </c>
      <c r="AB85" s="109" cm="1">
        <f t="array" ref="AB85">SUM(COUNTIF(AB8:AB84,{"SL"}))</f>
        <v>0</v>
      </c>
      <c r="AC85" s="109" cm="1">
        <f t="array" ref="AC85">SUM(COUNTIF(AC8:AC84,{"SL"}))</f>
        <v>0</v>
      </c>
      <c r="AD85" s="109" cm="1">
        <f t="array" ref="AD85">SUM(COUNTIF(AD8:AD84,{"SL"}))</f>
        <v>0</v>
      </c>
      <c r="AE85" s="109" cm="1">
        <f t="array" ref="AE85">SUM(COUNTIF(AE8:AE84,{"SL"}))</f>
        <v>0</v>
      </c>
      <c r="AF85" s="109" cm="1">
        <f t="array" ref="AF85">SUM(COUNTIF(AF8:AF84,{"SL"}))</f>
        <v>0</v>
      </c>
      <c r="AG85" s="109" cm="1">
        <f t="array" ref="AG85">SUM(COUNTIF(AG8:AG84,{"SL"}))</f>
        <v>0</v>
      </c>
      <c r="AH85" s="109" cm="1">
        <f t="array" ref="AH85">SUM(COUNTIF(AH8:AH84,{"SL"}))</f>
        <v>0</v>
      </c>
      <c r="AI85" s="219"/>
      <c r="AJ85" s="352"/>
      <c r="AK85" s="352"/>
      <c r="AL85" s="352"/>
      <c r="AM85" s="352"/>
      <c r="AW85" s="144"/>
      <c r="AX85" s="8"/>
      <c r="AY85" s="74"/>
      <c r="AZ85" s="73"/>
      <c r="BA85" s="8"/>
      <c r="BB85" s="74"/>
      <c r="BC85" s="78"/>
      <c r="BG85" s="64"/>
      <c r="BH85" s="62"/>
      <c r="BI85" s="62"/>
    </row>
    <row r="86" spans="1:61" ht="30" customHeight="1" thickTop="1">
      <c r="A86" s="1"/>
      <c r="B86" s="1"/>
      <c r="C86" s="1"/>
      <c r="D86" s="169" t="s">
        <v>177</v>
      </c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219"/>
      <c r="AJ86" s="352"/>
      <c r="AK86" s="352"/>
      <c r="AL86" s="352"/>
      <c r="AM86" s="352"/>
      <c r="AW86" s="144"/>
      <c r="AX86" s="8"/>
      <c r="AY86" s="74"/>
      <c r="AZ86" s="73"/>
      <c r="BA86" s="8"/>
      <c r="BB86" s="74"/>
      <c r="BC86" s="78"/>
      <c r="BG86" s="64"/>
      <c r="BH86" s="62"/>
      <c r="BI86" s="62"/>
    </row>
    <row r="87" spans="1:61" ht="30" customHeight="1">
      <c r="A87" s="1"/>
      <c r="B87" s="1"/>
      <c r="C87" s="1"/>
      <c r="D87" s="173" t="s">
        <v>178</v>
      </c>
      <c r="E87" s="171" t="s">
        <v>179</v>
      </c>
      <c r="F87" s="172"/>
      <c r="G87" s="170"/>
      <c r="H87" s="170" t="s">
        <v>180</v>
      </c>
      <c r="I87" s="171" t="s">
        <v>181</v>
      </c>
      <c r="J87" s="170"/>
      <c r="K87" s="171"/>
      <c r="L87" s="170" t="s">
        <v>182</v>
      </c>
      <c r="M87" s="171" t="s">
        <v>183</v>
      </c>
      <c r="N87" s="170"/>
      <c r="O87" s="170"/>
      <c r="P87" s="170"/>
      <c r="Q87" s="170"/>
      <c r="R87" s="170"/>
      <c r="S87" s="170"/>
      <c r="T87" s="170"/>
      <c r="U87" s="170"/>
      <c r="V87" s="170"/>
      <c r="W87" s="170" t="s">
        <v>184</v>
      </c>
      <c r="X87" s="170" t="s">
        <v>185</v>
      </c>
      <c r="Y87" s="170"/>
      <c r="Z87" s="170"/>
      <c r="AA87" s="1007" t="s">
        <v>47</v>
      </c>
      <c r="AB87" s="1011" t="s">
        <v>186</v>
      </c>
      <c r="AC87" s="1011"/>
      <c r="AD87" s="1011"/>
      <c r="AE87" s="1011"/>
      <c r="AF87" s="228"/>
      <c r="AG87" s="228"/>
      <c r="AH87" s="228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W87" s="144"/>
      <c r="AX87" s="8"/>
      <c r="AY87" s="74"/>
      <c r="AZ87" s="73"/>
      <c r="BA87" s="8"/>
      <c r="BB87" s="74"/>
      <c r="BC87" s="78"/>
      <c r="BG87" s="64"/>
      <c r="BH87" s="62"/>
      <c r="BI87" s="62"/>
    </row>
    <row r="88" spans="1:61" ht="30" customHeight="1" thickBot="1">
      <c r="A88" s="1"/>
      <c r="B88" s="1"/>
      <c r="C88" s="1"/>
      <c r="D88" s="170" t="s">
        <v>187</v>
      </c>
      <c r="E88" s="170" t="s">
        <v>188</v>
      </c>
      <c r="F88" s="170"/>
      <c r="G88" s="171"/>
      <c r="H88" s="170" t="s">
        <v>189</v>
      </c>
      <c r="I88" s="170" t="s">
        <v>190</v>
      </c>
      <c r="J88" s="170"/>
      <c r="K88" s="170"/>
      <c r="L88" s="170" t="s">
        <v>191</v>
      </c>
      <c r="M88" s="170" t="s">
        <v>192</v>
      </c>
      <c r="N88" s="170"/>
      <c r="O88" s="170"/>
      <c r="P88" s="170" t="s">
        <v>193</v>
      </c>
      <c r="Q88" s="170" t="s">
        <v>194</v>
      </c>
      <c r="R88" s="170"/>
      <c r="S88" s="170"/>
      <c r="T88" s="170"/>
      <c r="U88" s="170"/>
      <c r="V88" s="170"/>
      <c r="W88" s="170" t="s">
        <v>195</v>
      </c>
      <c r="X88" s="170" t="s">
        <v>196</v>
      </c>
      <c r="Y88" s="170"/>
      <c r="Z88" s="170"/>
      <c r="AA88" s="1007"/>
      <c r="AB88" s="1011"/>
      <c r="AC88" s="1011"/>
      <c r="AD88" s="1011"/>
      <c r="AE88" s="1011"/>
      <c r="AF88" s="228"/>
      <c r="AG88" s="228"/>
      <c r="AH88" s="228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W88" s="145"/>
      <c r="AX88" s="76"/>
      <c r="AY88" s="77"/>
      <c r="AZ88" s="75"/>
      <c r="BA88" s="76"/>
      <c r="BB88" s="77"/>
      <c r="BC88" s="79"/>
      <c r="BG88" s="64"/>
      <c r="BH88" s="62"/>
      <c r="BI88" s="62"/>
    </row>
    <row r="89" spans="1:61" ht="30.75">
      <c r="A89" s="1"/>
      <c r="B89" s="1"/>
      <c r="C89" s="1"/>
      <c r="D89" s="255" t="s">
        <v>197</v>
      </c>
      <c r="E89" s="1040" t="s">
        <v>198</v>
      </c>
      <c r="F89" s="1040"/>
      <c r="G89" s="1040"/>
      <c r="H89" s="1040"/>
      <c r="I89" s="1040"/>
      <c r="J89" s="166"/>
      <c r="K89" s="255" t="s">
        <v>197</v>
      </c>
      <c r="L89" s="1042" t="s">
        <v>199</v>
      </c>
      <c r="M89" s="1042"/>
      <c r="N89" s="1042"/>
      <c r="O89" s="1042"/>
      <c r="P89" s="1042"/>
      <c r="R89" s="256"/>
      <c r="S89" s="257" t="s">
        <v>56</v>
      </c>
      <c r="T89" s="258" t="s">
        <v>200</v>
      </c>
      <c r="V89" s="334" t="s">
        <v>197</v>
      </c>
      <c r="W89" s="335" t="s">
        <v>201</v>
      </c>
      <c r="X89" s="335"/>
      <c r="Y89" s="335"/>
      <c r="AB89" s="1006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BG89" s="64"/>
      <c r="BH89" s="62"/>
      <c r="BI89" s="62"/>
    </row>
    <row r="90" spans="1:61" ht="32.1" customHeight="1">
      <c r="A90" s="1"/>
      <c r="B90" s="1"/>
      <c r="C90" s="1"/>
      <c r="D90" s="255" t="s">
        <v>197</v>
      </c>
      <c r="E90" s="1041" t="s">
        <v>202</v>
      </c>
      <c r="F90" s="1041"/>
      <c r="G90" s="1041"/>
      <c r="H90" s="1041"/>
      <c r="I90" s="1041"/>
      <c r="J90" s="166"/>
      <c r="K90" s="255" t="s">
        <v>197</v>
      </c>
      <c r="L90" s="1043" t="s">
        <v>203</v>
      </c>
      <c r="M90" s="1043"/>
      <c r="N90" s="1043"/>
      <c r="O90" s="1043"/>
      <c r="P90" s="1043"/>
      <c r="S90" s="336" t="s">
        <v>92</v>
      </c>
      <c r="AB90" s="1006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BG90" s="64"/>
      <c r="BH90" s="62"/>
      <c r="BI90" s="62"/>
    </row>
    <row r="91" spans="1:61" ht="32.1" customHeight="1">
      <c r="A91" s="1"/>
      <c r="B91" s="1"/>
      <c r="C91" s="1"/>
      <c r="D91" s="1039" t="s">
        <v>204</v>
      </c>
      <c r="E91" s="1039"/>
      <c r="F91" s="1039"/>
      <c r="G91" s="1039"/>
      <c r="H91" s="1039"/>
      <c r="I91" s="1039"/>
      <c r="J91" s="1039"/>
      <c r="K91" s="1032" t="s">
        <v>205</v>
      </c>
      <c r="L91" s="1032"/>
      <c r="M91" s="1032"/>
      <c r="N91" s="1032"/>
      <c r="O91" s="1032"/>
      <c r="P91" s="1032"/>
      <c r="Q91" s="1032"/>
      <c r="S91" s="337" t="s">
        <v>72</v>
      </c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BG91" s="64"/>
      <c r="BH91" s="62"/>
      <c r="BI91" s="62"/>
    </row>
    <row r="92" spans="1:61" ht="32.1" customHeight="1">
      <c r="A92" s="1"/>
      <c r="B92" s="1"/>
      <c r="C92" s="1"/>
      <c r="D92" s="1039"/>
      <c r="E92" s="1039"/>
      <c r="F92" s="1039"/>
      <c r="G92" s="1039"/>
      <c r="H92" s="1039"/>
      <c r="I92" s="1039"/>
      <c r="J92" s="1039"/>
      <c r="K92" s="1032"/>
      <c r="L92" s="1032"/>
      <c r="M92" s="1032"/>
      <c r="N92" s="1032"/>
      <c r="O92" s="1032"/>
      <c r="P92" s="1032"/>
      <c r="Q92" s="1032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BG92" s="64"/>
      <c r="BH92" s="62"/>
      <c r="BI92" s="62"/>
    </row>
    <row r="93" spans="1:61" ht="29.85" customHeight="1">
      <c r="A93" s="1"/>
      <c r="B93" s="1"/>
      <c r="C93" s="1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</row>
    <row r="94" spans="1:61" s="9" customFormat="1" ht="47.25" customHeight="1">
      <c r="A94" s="1"/>
      <c r="B94" s="1"/>
      <c r="C94" s="177"/>
      <c r="D94" s="167"/>
      <c r="E94" s="167"/>
      <c r="F94" s="3"/>
      <c r="G94" s="3"/>
      <c r="H94" s="3"/>
      <c r="I94" s="3"/>
      <c r="J94" s="3"/>
      <c r="K94" s="3"/>
      <c r="L94" s="3"/>
      <c r="M94" s="178"/>
      <c r="N94" s="167"/>
      <c r="O94" s="167"/>
      <c r="P94" s="167"/>
      <c r="Q94" s="167"/>
      <c r="R94" s="167"/>
      <c r="S94" s="619" t="s">
        <v>206</v>
      </c>
      <c r="T94" s="167" t="s">
        <v>119</v>
      </c>
      <c r="U94" s="167"/>
      <c r="V94" s="167" t="s">
        <v>207</v>
      </c>
      <c r="W94" s="167" t="s">
        <v>208</v>
      </c>
      <c r="X94" s="167" t="s">
        <v>209</v>
      </c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V94" s="3"/>
      <c r="AW94" s="3"/>
      <c r="AX94" s="3"/>
      <c r="AY94" s="3"/>
      <c r="AZ94" s="3"/>
      <c r="BA94" s="3"/>
      <c r="BB94" s="3"/>
      <c r="BC94" s="3"/>
      <c r="BE94" s="10"/>
    </row>
    <row r="95" spans="1:61" s="9" customFormat="1" ht="30.75">
      <c r="A95" s="1"/>
      <c r="B95" s="1"/>
      <c r="C95" s="177"/>
      <c r="D95" s="179"/>
      <c r="E95" s="167"/>
      <c r="F95" s="3"/>
      <c r="G95" s="3"/>
      <c r="H95" s="638" t="s">
        <v>210</v>
      </c>
      <c r="I95" s="638" t="s">
        <v>211</v>
      </c>
      <c r="J95" s="942" t="s">
        <v>212</v>
      </c>
      <c r="K95" s="3"/>
      <c r="L95" s="3"/>
      <c r="M95" s="167"/>
      <c r="N95" s="167"/>
      <c r="O95" s="167"/>
      <c r="P95" s="178"/>
      <c r="Q95" s="178"/>
      <c r="R95" s="167"/>
      <c r="S95" s="167"/>
      <c r="T95" s="167"/>
      <c r="U95" s="167"/>
      <c r="V95" s="167" t="s">
        <v>213</v>
      </c>
      <c r="W95" s="167" t="s">
        <v>214</v>
      </c>
      <c r="X95" s="167"/>
      <c r="Y95" s="167"/>
      <c r="Z95" s="167"/>
      <c r="AA95" s="167"/>
      <c r="AB95" s="167"/>
      <c r="AC95" s="167"/>
      <c r="AD95" s="167"/>
      <c r="AE95" s="178"/>
      <c r="AF95" s="178"/>
      <c r="AG95" s="178"/>
      <c r="AH95" s="178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BE95" s="10"/>
    </row>
    <row r="96" spans="1:61" ht="35.1" customHeight="1">
      <c r="A96" s="1"/>
      <c r="B96" s="1"/>
      <c r="C96" s="1"/>
      <c r="D96" s="165"/>
      <c r="E96" s="165"/>
      <c r="G96" s="328"/>
      <c r="M96" s="9"/>
      <c r="N96" s="9"/>
      <c r="O96" s="9"/>
      <c r="P96" s="9"/>
      <c r="Q96" s="9"/>
      <c r="R96" s="9"/>
      <c r="S96" s="9"/>
      <c r="T96" s="9"/>
      <c r="U96" s="9"/>
      <c r="V96" s="167" t="s">
        <v>213</v>
      </c>
      <c r="W96" s="9" t="s">
        <v>215</v>
      </c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V96" s="9"/>
      <c r="AW96" s="9"/>
      <c r="AX96" s="9"/>
      <c r="AY96" s="9"/>
      <c r="AZ96" s="9"/>
      <c r="BA96" s="9"/>
      <c r="BB96" s="9"/>
      <c r="BC96" s="9"/>
    </row>
    <row r="97" spans="1:57" ht="29.25" customHeight="1">
      <c r="A97" s="168"/>
      <c r="B97" s="168"/>
      <c r="C97" s="168"/>
      <c r="G97" s="277" t="s">
        <v>142</v>
      </c>
      <c r="H97" s="620">
        <v>1</v>
      </c>
      <c r="J97" s="620">
        <v>1</v>
      </c>
      <c r="T97" s="620"/>
      <c r="U97" s="621" t="s">
        <v>216</v>
      </c>
      <c r="V97" s="167" t="s">
        <v>213</v>
      </c>
      <c r="W97" s="622" t="s">
        <v>217</v>
      </c>
      <c r="Y97" s="622"/>
      <c r="AV97" s="9"/>
      <c r="AW97" s="9"/>
      <c r="AX97" s="9"/>
      <c r="AY97" s="9"/>
      <c r="AZ97" s="9"/>
      <c r="BA97" s="9"/>
      <c r="BB97" s="9"/>
      <c r="BC97" s="9"/>
    </row>
    <row r="98" spans="1:57" s="9" customFormat="1" ht="30.75" customHeight="1">
      <c r="A98" s="168"/>
      <c r="B98" s="168"/>
      <c r="C98" s="168"/>
      <c r="D98" s="3"/>
      <c r="E98" s="3"/>
      <c r="F98" s="3"/>
      <c r="G98" s="32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167" t="s">
        <v>213</v>
      </c>
      <c r="W98" s="623" t="s">
        <v>218</v>
      </c>
      <c r="X98" s="624"/>
      <c r="Y98" s="624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BE98" s="10"/>
    </row>
    <row r="99" spans="1:57" s="9" customFormat="1" ht="30.75">
      <c r="A99" s="168"/>
      <c r="B99" s="168"/>
      <c r="C99" s="168"/>
      <c r="D99" s="3"/>
      <c r="E99" s="3"/>
      <c r="F99" s="3"/>
      <c r="G99" s="277" t="s">
        <v>145</v>
      </c>
      <c r="H99" s="3"/>
      <c r="I99" s="620">
        <v>1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BE99" s="10"/>
    </row>
    <row r="100" spans="1:57" s="9" customFormat="1" ht="30.75">
      <c r="A100" s="168"/>
      <c r="B100" s="168"/>
      <c r="C100" s="168"/>
      <c r="D100" s="3"/>
      <c r="E100" s="3"/>
      <c r="F100" s="3"/>
      <c r="G100" s="330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BC100" s="3"/>
      <c r="BE100" s="10"/>
    </row>
    <row r="101" spans="1:57" s="9" customFormat="1" ht="30.75">
      <c r="A101" s="168"/>
      <c r="B101" s="168"/>
      <c r="C101" s="168"/>
      <c r="D101" s="3"/>
      <c r="E101" s="3"/>
      <c r="F101" s="3"/>
      <c r="G101" s="278" t="s">
        <v>146</v>
      </c>
      <c r="H101" s="620">
        <v>2</v>
      </c>
      <c r="I101" s="3"/>
      <c r="J101" s="620">
        <v>2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BC101" s="3"/>
      <c r="BD101" s="10"/>
    </row>
    <row r="102" spans="1:57" s="9" customFormat="1" ht="30.75">
      <c r="A102" s="168"/>
      <c r="B102" s="168"/>
      <c r="C102" s="168"/>
      <c r="D102" s="3"/>
      <c r="E102" s="3"/>
      <c r="F102" s="3"/>
      <c r="G102" s="29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BD102" s="10"/>
    </row>
    <row r="103" spans="1:57" s="9" customFormat="1" ht="30.75">
      <c r="A103" s="168"/>
      <c r="B103" s="168"/>
      <c r="C103" s="168"/>
      <c r="D103" s="3"/>
      <c r="E103" s="3"/>
      <c r="F103" s="3"/>
      <c r="G103" s="303" t="s">
        <v>148</v>
      </c>
      <c r="H103" s="620">
        <v>3</v>
      </c>
      <c r="I103" s="3"/>
      <c r="J103" s="620">
        <v>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10"/>
    </row>
    <row r="104" spans="1:57" s="9" customFormat="1" ht="30.75">
      <c r="A104" s="168"/>
      <c r="B104" s="168"/>
      <c r="C104" s="168"/>
      <c r="D104" s="3"/>
      <c r="E104" s="3"/>
      <c r="F104" s="3"/>
      <c r="G104" s="293" t="s">
        <v>149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10"/>
    </row>
    <row r="105" spans="1:57" s="9" customFormat="1" ht="30.75">
      <c r="A105" s="168"/>
      <c r="B105" s="168"/>
      <c r="C105" s="168"/>
      <c r="D105" s="3"/>
      <c r="E105" s="3"/>
      <c r="F105" s="3"/>
      <c r="G105" s="280" t="s">
        <v>150</v>
      </c>
      <c r="H105" s="620">
        <v>1</v>
      </c>
      <c r="I105" s="3"/>
      <c r="J105" s="620">
        <v>1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10"/>
    </row>
    <row r="106" spans="1:57" s="9" customFormat="1" ht="30.75">
      <c r="A106" s="168"/>
      <c r="B106" s="168"/>
      <c r="C106" s="168"/>
      <c r="D106" s="3"/>
      <c r="E106" s="3"/>
      <c r="F106" s="3"/>
      <c r="G106" s="279" t="s">
        <v>149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10"/>
    </row>
    <row r="107" spans="1:57" ht="18.75" customHeight="1">
      <c r="A107" s="168"/>
      <c r="B107" s="168"/>
      <c r="C107" s="168"/>
      <c r="G107" s="281" t="s">
        <v>152</v>
      </c>
      <c r="H107" s="620">
        <v>2</v>
      </c>
      <c r="I107" s="620"/>
      <c r="J107" s="620">
        <v>2</v>
      </c>
      <c r="BD107" s="64"/>
      <c r="BE107" s="3"/>
    </row>
    <row r="108" spans="1:57" ht="18.75" customHeight="1">
      <c r="A108" s="168"/>
      <c r="B108" s="168"/>
      <c r="C108" s="168"/>
      <c r="G108" s="282" t="s">
        <v>149</v>
      </c>
      <c r="BD108" s="64"/>
      <c r="BE108" s="3"/>
    </row>
    <row r="109" spans="1:57" ht="18.75" customHeight="1">
      <c r="A109" s="168"/>
      <c r="B109" s="168"/>
      <c r="C109" s="168"/>
      <c r="G109" s="283" t="s">
        <v>153</v>
      </c>
      <c r="I109" s="620">
        <v>1</v>
      </c>
    </row>
    <row r="110" spans="1:57" ht="18.75" customHeight="1">
      <c r="A110" s="168"/>
      <c r="B110" s="168"/>
      <c r="C110" s="168"/>
      <c r="G110" s="282" t="s">
        <v>56</v>
      </c>
    </row>
    <row r="111" spans="1:57" ht="18.75" customHeight="1">
      <c r="A111" s="168"/>
      <c r="B111" s="168"/>
      <c r="C111" s="168"/>
      <c r="G111" s="284" t="s">
        <v>155</v>
      </c>
      <c r="H111" s="620">
        <v>3</v>
      </c>
      <c r="J111" s="620">
        <v>3</v>
      </c>
    </row>
    <row r="112" spans="1:57" ht="18.75" customHeight="1">
      <c r="A112" s="168"/>
      <c r="B112" s="168"/>
      <c r="C112" s="168"/>
      <c r="G112" s="283" t="s">
        <v>56</v>
      </c>
    </row>
    <row r="113" spans="1:10" ht="18.75" customHeight="1">
      <c r="A113" s="168"/>
      <c r="B113" s="168"/>
      <c r="C113" s="168"/>
      <c r="G113" s="329" t="s">
        <v>133</v>
      </c>
    </row>
    <row r="114" spans="1:10" ht="18.75" customHeight="1">
      <c r="A114" s="168"/>
      <c r="B114" s="168"/>
      <c r="C114" s="168"/>
      <c r="G114" s="282" t="s">
        <v>56</v>
      </c>
    </row>
    <row r="115" spans="1:10" ht="18.75" customHeight="1">
      <c r="A115" s="168"/>
      <c r="B115" s="168"/>
      <c r="C115" s="168"/>
      <c r="G115" s="311" t="s">
        <v>160</v>
      </c>
      <c r="I115" s="620">
        <v>2</v>
      </c>
    </row>
    <row r="116" spans="1:10" ht="18.75" customHeight="1">
      <c r="A116" s="168"/>
      <c r="B116" s="168"/>
      <c r="C116" s="168"/>
      <c r="G116" s="308" t="s">
        <v>72</v>
      </c>
    </row>
    <row r="117" spans="1:10" ht="18.75" customHeight="1">
      <c r="A117" s="168"/>
      <c r="B117" s="168"/>
      <c r="C117" s="168"/>
      <c r="G117" s="285" t="s">
        <v>162</v>
      </c>
      <c r="I117" s="620">
        <v>2</v>
      </c>
    </row>
    <row r="118" spans="1:10" ht="18.75" customHeight="1">
      <c r="A118" s="168"/>
      <c r="B118" s="168"/>
      <c r="C118" s="168"/>
      <c r="G118" s="286" t="s">
        <v>72</v>
      </c>
    </row>
    <row r="119" spans="1:10" ht="18.75" customHeight="1">
      <c r="A119" s="168"/>
      <c r="B119" s="168"/>
      <c r="C119" s="168"/>
      <c r="G119" s="285" t="s">
        <v>163</v>
      </c>
      <c r="H119" s="620">
        <v>2</v>
      </c>
      <c r="J119" s="620">
        <v>2</v>
      </c>
    </row>
    <row r="120" spans="1:10" ht="18.75" customHeight="1">
      <c r="A120" s="168"/>
      <c r="B120" s="168"/>
      <c r="C120" s="168"/>
      <c r="G120" s="287" t="s">
        <v>161</v>
      </c>
    </row>
    <row r="121" spans="1:10" ht="18.75" customHeight="1">
      <c r="A121" s="168"/>
      <c r="B121" s="168"/>
      <c r="C121" s="168"/>
      <c r="G121" s="283" t="s">
        <v>165</v>
      </c>
      <c r="H121" s="620">
        <v>1</v>
      </c>
      <c r="J121" s="620">
        <v>1</v>
      </c>
    </row>
    <row r="122" spans="1:10" ht="18.75" customHeight="1">
      <c r="A122" s="168"/>
      <c r="B122" s="168"/>
      <c r="C122" s="168"/>
      <c r="G122" s="288" t="s">
        <v>72</v>
      </c>
    </row>
    <row r="123" spans="1:10" ht="18.75" customHeight="1">
      <c r="A123" s="168"/>
      <c r="B123" s="168"/>
      <c r="C123" s="168"/>
      <c r="G123" s="285" t="s">
        <v>166</v>
      </c>
      <c r="I123" s="620">
        <v>1</v>
      </c>
    </row>
    <row r="124" spans="1:10" ht="18.75" customHeight="1">
      <c r="A124" s="168"/>
      <c r="B124" s="168"/>
      <c r="C124" s="168"/>
    </row>
    <row r="125" spans="1:10" ht="18.75" customHeight="1">
      <c r="A125" s="168"/>
      <c r="B125" s="168"/>
      <c r="C125" s="168"/>
    </row>
    <row r="126" spans="1:10" ht="18.75" customHeight="1">
      <c r="A126" s="168"/>
      <c r="B126" s="168"/>
      <c r="C126" s="168"/>
    </row>
    <row r="127" spans="1:10" ht="18.75" customHeight="1">
      <c r="A127" s="168"/>
      <c r="B127" s="168"/>
      <c r="C127" s="168"/>
    </row>
    <row r="128" spans="1:10" ht="18.75" customHeight="1">
      <c r="A128" s="168"/>
      <c r="B128" s="168"/>
      <c r="C128" s="168"/>
    </row>
    <row r="129" spans="1:3" ht="18.75" customHeight="1">
      <c r="A129" s="168"/>
      <c r="B129" s="168"/>
      <c r="C129" s="168"/>
    </row>
    <row r="130" spans="1:3" ht="18.75" customHeight="1">
      <c r="A130" s="168"/>
      <c r="B130" s="168"/>
      <c r="C130" s="168"/>
    </row>
    <row r="131" spans="1:3" ht="18.75" customHeight="1">
      <c r="A131" s="168"/>
      <c r="B131" s="168"/>
      <c r="C131" s="168"/>
    </row>
    <row r="132" spans="1:3" ht="18.75" customHeight="1">
      <c r="A132" s="168"/>
      <c r="B132" s="168"/>
      <c r="C132" s="168"/>
    </row>
    <row r="133" spans="1:3" ht="18.75" customHeight="1">
      <c r="A133" s="168"/>
      <c r="B133" s="168"/>
      <c r="C133" s="168"/>
    </row>
    <row r="134" spans="1:3" ht="18.75" customHeight="1">
      <c r="A134" s="168"/>
      <c r="B134" s="168"/>
      <c r="C134" s="168"/>
    </row>
    <row r="135" spans="1:3" ht="18.75" customHeight="1">
      <c r="A135" s="168"/>
      <c r="B135" s="168"/>
      <c r="C135" s="168"/>
    </row>
    <row r="136" spans="1:3" ht="18.75" customHeight="1">
      <c r="A136" s="168"/>
      <c r="B136" s="168"/>
      <c r="C136" s="168"/>
    </row>
    <row r="137" spans="1:3" ht="18.75" customHeight="1">
      <c r="A137" s="168"/>
      <c r="B137" s="168"/>
      <c r="C137" s="168"/>
    </row>
    <row r="138" spans="1:3" ht="18.75" customHeight="1">
      <c r="A138" s="168"/>
      <c r="B138" s="168"/>
      <c r="C138" s="168"/>
    </row>
    <row r="139" spans="1:3" ht="18.75" customHeight="1">
      <c r="A139" s="168"/>
      <c r="B139" s="168"/>
      <c r="C139" s="168"/>
    </row>
    <row r="140" spans="1:3" ht="18.75" customHeight="1">
      <c r="A140" s="168"/>
      <c r="B140" s="168"/>
      <c r="C140" s="168"/>
    </row>
    <row r="141" spans="1:3" ht="18.75" customHeight="1">
      <c r="A141" s="168"/>
      <c r="B141" s="168"/>
      <c r="C141" s="168"/>
    </row>
    <row r="142" spans="1:3" ht="18.75" customHeight="1">
      <c r="A142" s="168"/>
      <c r="B142" s="168"/>
      <c r="C142" s="168"/>
    </row>
    <row r="143" spans="1:3" ht="18.75" customHeight="1">
      <c r="A143" s="168"/>
      <c r="B143" s="168"/>
      <c r="C143" s="168"/>
    </row>
    <row r="144" spans="1:3" ht="18.75" customHeight="1">
      <c r="A144" s="168"/>
      <c r="B144" s="168"/>
      <c r="C144" s="168"/>
    </row>
    <row r="145" spans="1:3" ht="18.75" customHeight="1">
      <c r="A145" s="168"/>
      <c r="B145" s="168"/>
      <c r="C145" s="168"/>
    </row>
    <row r="146" spans="1:3" ht="18.75" customHeight="1">
      <c r="A146" s="168"/>
      <c r="B146" s="168"/>
      <c r="C146" s="168"/>
    </row>
    <row r="147" spans="1:3" ht="18.75" customHeight="1">
      <c r="A147" s="168"/>
      <c r="B147" s="168"/>
      <c r="C147" s="168"/>
    </row>
    <row r="148" spans="1:3" ht="18.75" customHeight="1">
      <c r="A148" s="168"/>
      <c r="B148" s="168"/>
      <c r="C148" s="168"/>
    </row>
    <row r="149" spans="1:3" ht="18.75" customHeight="1">
      <c r="A149" s="168"/>
      <c r="B149" s="168"/>
      <c r="C149" s="168"/>
    </row>
    <row r="150" spans="1:3" ht="18.75" customHeight="1">
      <c r="A150" s="168"/>
      <c r="B150" s="168"/>
      <c r="C150" s="168"/>
    </row>
    <row r="151" spans="1:3" ht="18.75" customHeight="1">
      <c r="A151" s="168"/>
      <c r="B151" s="168"/>
      <c r="C151" s="168"/>
    </row>
    <row r="152" spans="1:3" ht="18.75" customHeight="1">
      <c r="A152" s="168"/>
      <c r="B152" s="168"/>
      <c r="C152" s="168"/>
    </row>
    <row r="153" spans="1:3" ht="18.75" customHeight="1">
      <c r="A153" s="168"/>
      <c r="B153" s="168"/>
      <c r="C153" s="168"/>
    </row>
    <row r="154" spans="1:3" ht="18.75" customHeight="1">
      <c r="A154" s="168"/>
      <c r="B154" s="168"/>
      <c r="C154" s="168"/>
    </row>
    <row r="155" spans="1:3" ht="18.75" customHeight="1">
      <c r="A155" s="168"/>
      <c r="B155" s="168"/>
      <c r="C155" s="168"/>
    </row>
    <row r="156" spans="1:3" ht="18.75" customHeight="1">
      <c r="A156" s="168"/>
      <c r="B156" s="168"/>
      <c r="C156" s="168"/>
    </row>
    <row r="157" spans="1:3" ht="18.75" customHeight="1">
      <c r="A157" s="168"/>
      <c r="B157" s="168"/>
      <c r="C157" s="168"/>
    </row>
    <row r="158" spans="1:3" ht="18.75" customHeight="1">
      <c r="A158" s="168"/>
      <c r="B158" s="168"/>
      <c r="C158" s="168"/>
    </row>
    <row r="159" spans="1:3" ht="18.75" customHeight="1">
      <c r="A159" s="168"/>
      <c r="B159" s="168"/>
      <c r="C159" s="168"/>
    </row>
    <row r="160" spans="1:3" ht="18.75" customHeight="1">
      <c r="A160" s="168"/>
      <c r="B160" s="168"/>
      <c r="C160" s="168"/>
    </row>
    <row r="161" spans="1:3" ht="18.75" customHeight="1">
      <c r="A161" s="168"/>
      <c r="B161" s="168"/>
      <c r="C161" s="168"/>
    </row>
    <row r="162" spans="1:3" ht="18.75" customHeight="1">
      <c r="A162" s="168"/>
      <c r="B162" s="168"/>
      <c r="C162" s="168"/>
    </row>
    <row r="163" spans="1:3" ht="18.75" customHeight="1">
      <c r="A163" s="168"/>
      <c r="B163" s="168"/>
      <c r="C163" s="168"/>
    </row>
    <row r="164" spans="1:3" ht="18.75" customHeight="1">
      <c r="A164" s="168"/>
      <c r="B164" s="168"/>
      <c r="C164" s="168"/>
    </row>
    <row r="165" spans="1:3" ht="18.75" customHeight="1">
      <c r="A165" s="168"/>
      <c r="B165" s="168"/>
      <c r="C165" s="168"/>
    </row>
    <row r="166" spans="1:3" ht="18.75" customHeight="1">
      <c r="A166" s="168"/>
      <c r="B166" s="168"/>
      <c r="C166" s="168"/>
    </row>
    <row r="167" spans="1:3" ht="18.75" customHeight="1">
      <c r="A167" s="168"/>
      <c r="B167" s="168"/>
      <c r="C167" s="168"/>
    </row>
    <row r="168" spans="1:3" ht="18.75" customHeight="1">
      <c r="A168" s="168"/>
      <c r="B168" s="168"/>
      <c r="C168" s="168"/>
    </row>
    <row r="169" spans="1:3" ht="18.75" customHeight="1">
      <c r="A169" s="168"/>
      <c r="B169" s="168"/>
      <c r="C169" s="168"/>
    </row>
    <row r="170" spans="1:3" ht="18.75" customHeight="1">
      <c r="A170" s="168"/>
      <c r="B170" s="168"/>
      <c r="C170" s="168"/>
    </row>
    <row r="171" spans="1:3" ht="18.75" customHeight="1">
      <c r="A171" s="168"/>
      <c r="B171" s="168"/>
      <c r="C171" s="168"/>
    </row>
    <row r="172" spans="1:3" ht="18.75" customHeight="1">
      <c r="A172" s="168"/>
      <c r="B172" s="168"/>
      <c r="C172" s="168"/>
    </row>
    <row r="173" spans="1:3" ht="18.75" customHeight="1">
      <c r="A173" s="168"/>
      <c r="B173" s="168"/>
      <c r="C173" s="168"/>
    </row>
    <row r="174" spans="1:3" ht="18.75" customHeight="1">
      <c r="A174" s="168"/>
      <c r="B174" s="168"/>
      <c r="C174" s="168"/>
    </row>
    <row r="175" spans="1:3" ht="18.75" customHeight="1">
      <c r="A175" s="168"/>
      <c r="B175" s="168"/>
      <c r="C175" s="168"/>
    </row>
    <row r="176" spans="1:3" ht="18.75" customHeight="1">
      <c r="A176" s="168"/>
      <c r="B176" s="168"/>
      <c r="C176" s="168"/>
    </row>
    <row r="177" spans="1:3" ht="18.75" customHeight="1">
      <c r="A177" s="168"/>
      <c r="B177" s="168"/>
      <c r="C177" s="168"/>
    </row>
    <row r="178" spans="1:3" ht="18.75" customHeight="1">
      <c r="A178" s="168"/>
      <c r="B178" s="168"/>
      <c r="C178" s="168"/>
    </row>
    <row r="179" spans="1:3" ht="18.75" customHeight="1">
      <c r="A179" s="168"/>
      <c r="B179" s="168"/>
      <c r="C179" s="168"/>
    </row>
    <row r="180" spans="1:3" ht="18.75" customHeight="1">
      <c r="A180" s="168"/>
      <c r="B180" s="168"/>
      <c r="C180" s="168"/>
    </row>
    <row r="181" spans="1:3" ht="18.75" customHeight="1">
      <c r="A181" s="168"/>
      <c r="B181" s="168"/>
      <c r="C181" s="168"/>
    </row>
    <row r="182" spans="1:3" ht="18.75" customHeight="1">
      <c r="A182" s="168"/>
      <c r="B182" s="168"/>
      <c r="C182" s="168"/>
    </row>
    <row r="183" spans="1:3" ht="18.75" customHeight="1">
      <c r="A183" s="168"/>
      <c r="B183" s="168"/>
      <c r="C183" s="168"/>
    </row>
    <row r="184" spans="1:3" ht="18.75" customHeight="1">
      <c r="A184" s="168"/>
      <c r="B184" s="168"/>
      <c r="C184" s="168"/>
    </row>
    <row r="185" spans="1:3" ht="18.75" customHeight="1">
      <c r="A185" s="168"/>
      <c r="B185" s="168"/>
      <c r="C185" s="168"/>
    </row>
    <row r="186" spans="1:3" ht="18.75" customHeight="1">
      <c r="A186" s="168"/>
      <c r="B186" s="168"/>
      <c r="C186" s="168"/>
    </row>
    <row r="187" spans="1:3" ht="18.75" customHeight="1">
      <c r="A187" s="168"/>
      <c r="B187" s="168"/>
      <c r="C187" s="168"/>
    </row>
    <row r="188" spans="1:3" ht="18.75" customHeight="1">
      <c r="A188" s="168"/>
      <c r="B188" s="168"/>
      <c r="C188" s="168"/>
    </row>
    <row r="189" spans="1:3" ht="18.75" customHeight="1">
      <c r="A189" s="168"/>
      <c r="B189" s="168"/>
      <c r="C189" s="168"/>
    </row>
    <row r="190" spans="1:3" ht="18.75" customHeight="1">
      <c r="A190" s="168"/>
      <c r="B190" s="168"/>
      <c r="C190" s="168"/>
    </row>
    <row r="191" spans="1:3" ht="18.75" customHeight="1">
      <c r="A191" s="168"/>
      <c r="B191" s="168"/>
      <c r="C191" s="168"/>
    </row>
    <row r="192" spans="1:3" ht="18.75" customHeight="1">
      <c r="A192" s="168"/>
      <c r="B192" s="168"/>
      <c r="C192" s="168"/>
    </row>
    <row r="193" spans="1:3" ht="18.75" customHeight="1">
      <c r="A193" s="168"/>
      <c r="B193" s="168"/>
      <c r="C193" s="168"/>
    </row>
    <row r="194" spans="1:3" ht="18.75" customHeight="1">
      <c r="A194" s="168"/>
      <c r="B194" s="168"/>
      <c r="C194" s="168"/>
    </row>
    <row r="195" spans="1:3" ht="18.75" customHeight="1">
      <c r="A195" s="168"/>
      <c r="B195" s="168"/>
      <c r="C195" s="168"/>
    </row>
    <row r="196" spans="1:3" ht="18.75" customHeight="1">
      <c r="A196" s="168"/>
      <c r="B196" s="168"/>
      <c r="C196" s="168"/>
    </row>
    <row r="197" spans="1:3" ht="18.75" customHeight="1">
      <c r="A197" s="168"/>
      <c r="B197" s="168"/>
      <c r="C197" s="168"/>
    </row>
    <row r="198" spans="1:3" ht="18.75" customHeight="1">
      <c r="A198" s="168"/>
      <c r="B198" s="168"/>
      <c r="C198" s="168"/>
    </row>
    <row r="199" spans="1:3" ht="18.75" customHeight="1">
      <c r="A199" s="168"/>
      <c r="B199" s="168"/>
      <c r="C199" s="168"/>
    </row>
    <row r="200" spans="1:3" ht="18.75" customHeight="1">
      <c r="A200" s="168"/>
      <c r="B200" s="168"/>
      <c r="C200" s="168"/>
    </row>
    <row r="201" spans="1:3" ht="18.75" customHeight="1">
      <c r="A201" s="168"/>
      <c r="B201" s="168"/>
      <c r="C201" s="168"/>
    </row>
    <row r="202" spans="1:3" ht="18.75" customHeight="1">
      <c r="A202" s="168"/>
      <c r="B202" s="168"/>
      <c r="C202" s="168"/>
    </row>
    <row r="203" spans="1:3" ht="18.75" customHeight="1">
      <c r="A203" s="168"/>
      <c r="B203" s="168"/>
      <c r="C203" s="168"/>
    </row>
    <row r="204" spans="1:3" ht="18.75" customHeight="1">
      <c r="A204" s="168"/>
      <c r="B204" s="168"/>
      <c r="C204" s="168"/>
    </row>
    <row r="205" spans="1:3" ht="18.75" customHeight="1">
      <c r="A205" s="168"/>
      <c r="B205" s="168"/>
      <c r="C205" s="168"/>
    </row>
    <row r="206" spans="1:3" ht="18.75" customHeight="1">
      <c r="A206" s="168"/>
      <c r="B206" s="168"/>
      <c r="C206" s="168"/>
    </row>
    <row r="207" spans="1:3" ht="18.75" customHeight="1">
      <c r="A207" s="168"/>
      <c r="B207" s="168"/>
      <c r="C207" s="168"/>
    </row>
    <row r="208" spans="1:3" ht="18.75" customHeight="1">
      <c r="A208" s="168"/>
      <c r="B208" s="168"/>
      <c r="C208" s="168"/>
    </row>
    <row r="209" spans="1:3" ht="18.75" customHeight="1">
      <c r="A209" s="168"/>
      <c r="B209" s="168"/>
      <c r="C209" s="168"/>
    </row>
    <row r="210" spans="1:3" ht="18.75" customHeight="1">
      <c r="A210" s="168"/>
      <c r="B210" s="168"/>
      <c r="C210" s="168"/>
    </row>
    <row r="211" spans="1:3" ht="18.75" customHeight="1">
      <c r="A211" s="168"/>
      <c r="B211" s="168"/>
      <c r="C211" s="168"/>
    </row>
    <row r="212" spans="1:3" ht="18.75" customHeight="1">
      <c r="A212" s="168"/>
      <c r="B212" s="168"/>
      <c r="C212" s="168"/>
    </row>
    <row r="213" spans="1:3" ht="18.75" customHeight="1">
      <c r="A213" s="168"/>
      <c r="B213" s="168"/>
      <c r="C213" s="168"/>
    </row>
    <row r="214" spans="1:3" ht="18.75" customHeight="1">
      <c r="A214" s="168"/>
      <c r="B214" s="168"/>
      <c r="C214" s="168"/>
    </row>
    <row r="215" spans="1:3" ht="18.75" customHeight="1">
      <c r="A215" s="168"/>
      <c r="B215" s="168"/>
      <c r="C215" s="168"/>
    </row>
    <row r="216" spans="1:3" ht="18.75" customHeight="1">
      <c r="A216" s="168"/>
      <c r="B216" s="168"/>
      <c r="C216" s="168"/>
    </row>
    <row r="217" spans="1:3" ht="18.75" customHeight="1">
      <c r="A217" s="168"/>
      <c r="B217" s="168"/>
      <c r="C217" s="168"/>
    </row>
    <row r="218" spans="1:3" ht="18.75" customHeight="1">
      <c r="A218" s="168"/>
      <c r="B218" s="168"/>
      <c r="C218" s="168"/>
    </row>
    <row r="219" spans="1:3" ht="18.75" customHeight="1">
      <c r="A219" s="168"/>
      <c r="B219" s="168"/>
      <c r="C219" s="168"/>
    </row>
    <row r="220" spans="1:3" ht="18.75" customHeight="1">
      <c r="A220" s="168"/>
      <c r="B220" s="168"/>
      <c r="C220" s="168"/>
    </row>
    <row r="221" spans="1:3" ht="18.75" customHeight="1">
      <c r="A221" s="168"/>
      <c r="B221" s="168"/>
      <c r="C221" s="168"/>
    </row>
    <row r="222" spans="1:3" ht="18.75" customHeight="1">
      <c r="A222" s="168"/>
      <c r="B222" s="168"/>
      <c r="C222" s="168"/>
    </row>
    <row r="223" spans="1:3" ht="18.75" customHeight="1">
      <c r="A223" s="168"/>
      <c r="B223" s="168"/>
      <c r="C223" s="168"/>
    </row>
    <row r="224" spans="1:3" ht="18.75" customHeight="1">
      <c r="A224" s="168"/>
      <c r="B224" s="168"/>
      <c r="C224" s="168"/>
    </row>
    <row r="225" spans="1:3" ht="18.75" customHeight="1">
      <c r="A225" s="168"/>
      <c r="B225" s="168"/>
      <c r="C225" s="168"/>
    </row>
    <row r="226" spans="1:3" ht="18.75" customHeight="1">
      <c r="A226" s="168"/>
      <c r="B226" s="168"/>
      <c r="C226" s="168"/>
    </row>
    <row r="227" spans="1:3" ht="18.75" customHeight="1">
      <c r="A227" s="168"/>
      <c r="B227" s="168"/>
      <c r="C227" s="168"/>
    </row>
    <row r="228" spans="1:3" ht="18.75" customHeight="1">
      <c r="A228" s="168"/>
      <c r="B228" s="168"/>
      <c r="C228" s="168"/>
    </row>
    <row r="229" spans="1:3" ht="18.75" customHeight="1">
      <c r="A229" s="168"/>
      <c r="B229" s="168"/>
      <c r="C229" s="168"/>
    </row>
    <row r="230" spans="1:3" ht="18.75" customHeight="1">
      <c r="A230" s="168"/>
      <c r="B230" s="168"/>
      <c r="C230" s="168"/>
    </row>
    <row r="231" spans="1:3" ht="18.75" customHeight="1">
      <c r="A231" s="168"/>
      <c r="B231" s="168"/>
      <c r="C231" s="168"/>
    </row>
    <row r="232" spans="1:3" ht="18.75" customHeight="1">
      <c r="A232" s="168"/>
      <c r="B232" s="168"/>
      <c r="C232" s="168"/>
    </row>
    <row r="233" spans="1:3" ht="18.75" customHeight="1">
      <c r="A233" s="168"/>
      <c r="B233" s="168"/>
      <c r="C233" s="168"/>
    </row>
    <row r="234" spans="1:3" ht="18.75" customHeight="1">
      <c r="A234" s="168"/>
      <c r="B234" s="168"/>
      <c r="C234" s="168"/>
    </row>
    <row r="235" spans="1:3" ht="18.75" customHeight="1">
      <c r="A235" s="168"/>
      <c r="B235" s="168"/>
      <c r="C235" s="168"/>
    </row>
    <row r="236" spans="1:3" ht="18.75" customHeight="1">
      <c r="A236" s="168"/>
      <c r="B236" s="168"/>
      <c r="C236" s="168"/>
    </row>
    <row r="237" spans="1:3" ht="18.75" customHeight="1">
      <c r="A237" s="168"/>
      <c r="B237" s="168"/>
      <c r="C237" s="168"/>
    </row>
    <row r="238" spans="1:3" ht="18.75" customHeight="1">
      <c r="A238" s="168"/>
      <c r="B238" s="168"/>
      <c r="C238" s="168"/>
    </row>
    <row r="239" spans="1:3" ht="18.75" customHeight="1">
      <c r="A239" s="168"/>
      <c r="B239" s="168"/>
      <c r="C239" s="168"/>
    </row>
    <row r="240" spans="1:3" ht="18.75" customHeight="1">
      <c r="A240" s="168"/>
      <c r="B240" s="168"/>
      <c r="C240" s="168"/>
    </row>
    <row r="241" spans="1:3" ht="18.75" customHeight="1">
      <c r="A241" s="168"/>
      <c r="B241" s="168"/>
      <c r="C241" s="168"/>
    </row>
    <row r="242" spans="1:3" ht="18.75" customHeight="1">
      <c r="A242" s="168"/>
      <c r="B242" s="168"/>
      <c r="C242" s="168"/>
    </row>
    <row r="243" spans="1:3" ht="18.75" customHeight="1">
      <c r="A243" s="168"/>
      <c r="B243" s="168"/>
      <c r="C243" s="168"/>
    </row>
    <row r="244" spans="1:3" ht="18.75" customHeight="1">
      <c r="A244" s="168"/>
      <c r="B244" s="168"/>
      <c r="C244" s="168"/>
    </row>
    <row r="245" spans="1:3" ht="18.75" customHeight="1">
      <c r="A245" s="168"/>
      <c r="B245" s="168"/>
      <c r="C245" s="168"/>
    </row>
    <row r="246" spans="1:3" ht="18.75" customHeight="1">
      <c r="A246" s="168"/>
      <c r="B246" s="168"/>
      <c r="C246" s="168"/>
    </row>
    <row r="247" spans="1:3" ht="18.75" customHeight="1">
      <c r="A247" s="168"/>
      <c r="B247" s="168"/>
      <c r="C247" s="168"/>
    </row>
    <row r="248" spans="1:3" ht="18.75" customHeight="1">
      <c r="A248" s="168"/>
      <c r="B248" s="168"/>
      <c r="C248" s="168"/>
    </row>
    <row r="249" spans="1:3" ht="18.75" customHeight="1">
      <c r="A249" s="168"/>
      <c r="B249" s="168"/>
      <c r="C249" s="168"/>
    </row>
    <row r="250" spans="1:3" ht="18.75" customHeight="1">
      <c r="A250" s="168"/>
      <c r="B250" s="168"/>
      <c r="C250" s="168"/>
    </row>
    <row r="251" spans="1:3" ht="18.75" customHeight="1">
      <c r="A251" s="168"/>
      <c r="B251" s="168"/>
      <c r="C251" s="168"/>
    </row>
    <row r="252" spans="1:3" ht="18.75" customHeight="1">
      <c r="A252" s="168"/>
      <c r="B252" s="168"/>
      <c r="C252" s="168"/>
    </row>
    <row r="253" spans="1:3" ht="18.75" customHeight="1">
      <c r="A253" s="168"/>
      <c r="B253" s="168"/>
      <c r="C253" s="168"/>
    </row>
    <row r="254" spans="1:3" ht="18.75" customHeight="1">
      <c r="A254" s="168"/>
      <c r="B254" s="168"/>
      <c r="C254" s="168"/>
    </row>
    <row r="255" spans="1:3" ht="18.75" customHeight="1">
      <c r="A255" s="168"/>
      <c r="B255" s="168"/>
      <c r="C255" s="168"/>
    </row>
    <row r="256" spans="1:3" ht="18.75" customHeight="1">
      <c r="A256" s="168"/>
      <c r="B256" s="168"/>
      <c r="C256" s="168"/>
    </row>
    <row r="257" spans="1:3" ht="18.75" customHeight="1">
      <c r="A257" s="168"/>
      <c r="B257" s="168"/>
      <c r="C257" s="168"/>
    </row>
    <row r="258" spans="1:3" ht="18.75" customHeight="1">
      <c r="A258" s="168"/>
      <c r="B258" s="168"/>
      <c r="C258" s="168"/>
    </row>
    <row r="259" spans="1:3" ht="18.75" customHeight="1">
      <c r="A259" s="168"/>
      <c r="B259" s="168"/>
      <c r="C259" s="168"/>
    </row>
    <row r="260" spans="1:3" ht="18.75" customHeight="1">
      <c r="A260" s="168"/>
      <c r="B260" s="168"/>
      <c r="C260" s="168"/>
    </row>
    <row r="261" spans="1:3" ht="18.75" customHeight="1">
      <c r="A261" s="168"/>
      <c r="B261" s="168"/>
      <c r="C261" s="168"/>
    </row>
    <row r="262" spans="1:3" ht="18.75" customHeight="1">
      <c r="A262" s="168"/>
      <c r="B262" s="168"/>
      <c r="C262" s="168"/>
    </row>
    <row r="263" spans="1:3" ht="18.75" customHeight="1">
      <c r="A263" s="168"/>
      <c r="B263" s="168"/>
      <c r="C263" s="168"/>
    </row>
    <row r="264" spans="1:3" ht="18.75" customHeight="1">
      <c r="A264" s="168"/>
      <c r="B264" s="168"/>
      <c r="C264" s="168"/>
    </row>
    <row r="265" spans="1:3" ht="18.75" customHeight="1">
      <c r="A265" s="168"/>
      <c r="B265" s="168"/>
      <c r="C265" s="168"/>
    </row>
    <row r="266" spans="1:3" ht="18.75" customHeight="1">
      <c r="A266" s="168"/>
      <c r="B266" s="168"/>
      <c r="C266" s="168"/>
    </row>
    <row r="267" spans="1:3" ht="18.75" customHeight="1">
      <c r="A267" s="168"/>
      <c r="B267" s="168"/>
      <c r="C267" s="168"/>
    </row>
    <row r="268" spans="1:3" ht="18.75" customHeight="1">
      <c r="A268" s="168"/>
      <c r="B268" s="168"/>
      <c r="C268" s="168"/>
    </row>
    <row r="269" spans="1:3" ht="18.75" customHeight="1">
      <c r="A269" s="168"/>
      <c r="B269" s="168"/>
      <c r="C269" s="168"/>
    </row>
    <row r="270" spans="1:3" ht="18.75" customHeight="1">
      <c r="A270" s="168"/>
      <c r="B270" s="168"/>
      <c r="C270" s="168"/>
    </row>
    <row r="271" spans="1:3" ht="18.75" customHeight="1">
      <c r="A271" s="168"/>
      <c r="B271" s="168"/>
      <c r="C271" s="168"/>
    </row>
    <row r="272" spans="1:3" ht="18.75" customHeight="1">
      <c r="A272" s="168"/>
      <c r="B272" s="168"/>
      <c r="C272" s="168"/>
    </row>
    <row r="273" spans="1:3" ht="18.75" customHeight="1">
      <c r="A273" s="168"/>
      <c r="B273" s="168"/>
      <c r="C273" s="168"/>
    </row>
    <row r="274" spans="1:3" ht="18.75" customHeight="1">
      <c r="A274" s="168"/>
      <c r="B274" s="168"/>
      <c r="C274" s="168"/>
    </row>
    <row r="275" spans="1:3" ht="18.75" customHeight="1">
      <c r="A275" s="168"/>
      <c r="B275" s="168"/>
      <c r="C275" s="168"/>
    </row>
    <row r="276" spans="1:3" ht="18.75" customHeight="1">
      <c r="A276" s="168"/>
      <c r="B276" s="168"/>
      <c r="C276" s="168"/>
    </row>
    <row r="277" spans="1:3" ht="18.75" customHeight="1">
      <c r="A277" s="168"/>
      <c r="B277" s="168"/>
      <c r="C277" s="168"/>
    </row>
    <row r="278" spans="1:3" ht="18.75" customHeight="1">
      <c r="A278" s="168"/>
      <c r="B278" s="168"/>
      <c r="C278" s="168"/>
    </row>
    <row r="279" spans="1:3" ht="18.75" customHeight="1">
      <c r="A279" s="168"/>
      <c r="B279" s="168"/>
      <c r="C279" s="168"/>
    </row>
    <row r="280" spans="1:3" ht="18.75" customHeight="1">
      <c r="A280" s="168"/>
      <c r="B280" s="168"/>
      <c r="C280" s="168"/>
    </row>
    <row r="281" spans="1:3" ht="18.75" customHeight="1">
      <c r="A281" s="168"/>
      <c r="B281" s="168"/>
      <c r="C281" s="168"/>
    </row>
    <row r="282" spans="1:3" ht="18.75" customHeight="1">
      <c r="A282" s="168"/>
      <c r="B282" s="168"/>
      <c r="C282" s="168"/>
    </row>
    <row r="283" spans="1:3" ht="18.75" customHeight="1">
      <c r="A283" s="168"/>
      <c r="B283" s="168"/>
      <c r="C283" s="168"/>
    </row>
    <row r="284" spans="1:3" ht="18.75" customHeight="1">
      <c r="A284" s="168"/>
      <c r="B284" s="168"/>
      <c r="C284" s="168"/>
    </row>
    <row r="285" spans="1:3" ht="18.75" customHeight="1">
      <c r="A285" s="168"/>
      <c r="B285" s="168"/>
      <c r="C285" s="168"/>
    </row>
    <row r="286" spans="1:3" ht="18.75" customHeight="1">
      <c r="A286" s="168"/>
      <c r="B286" s="168"/>
      <c r="C286" s="168"/>
    </row>
    <row r="287" spans="1:3" ht="18.75" customHeight="1">
      <c r="A287" s="168"/>
      <c r="B287" s="168"/>
      <c r="C287" s="168"/>
    </row>
    <row r="288" spans="1:3" ht="18.75" customHeight="1">
      <c r="A288" s="168"/>
      <c r="B288" s="168"/>
      <c r="C288" s="168"/>
    </row>
    <row r="289" spans="1:3" ht="18.75" customHeight="1">
      <c r="A289" s="168"/>
      <c r="B289" s="168"/>
      <c r="C289" s="168"/>
    </row>
    <row r="290" spans="1:3" ht="18.75" customHeight="1">
      <c r="A290" s="168"/>
      <c r="B290" s="168"/>
      <c r="C290" s="168"/>
    </row>
    <row r="291" spans="1:3" ht="18.75" customHeight="1">
      <c r="A291" s="168"/>
      <c r="B291" s="168"/>
      <c r="C291" s="168"/>
    </row>
    <row r="292" spans="1:3" ht="18.75" customHeight="1">
      <c r="A292" s="168"/>
      <c r="B292" s="168"/>
      <c r="C292" s="168"/>
    </row>
    <row r="293" spans="1:3" ht="18.75" customHeight="1">
      <c r="A293" s="168"/>
      <c r="B293" s="168"/>
      <c r="C293" s="168"/>
    </row>
    <row r="294" spans="1:3" ht="18.75" customHeight="1">
      <c r="A294" s="168"/>
      <c r="B294" s="168"/>
      <c r="C294" s="168"/>
    </row>
    <row r="295" spans="1:3" ht="18.75" customHeight="1">
      <c r="A295" s="168"/>
      <c r="B295" s="168"/>
      <c r="C295" s="168"/>
    </row>
    <row r="296" spans="1:3" ht="18.75" customHeight="1">
      <c r="A296" s="168"/>
      <c r="B296" s="168"/>
      <c r="C296" s="168"/>
    </row>
    <row r="297" spans="1:3" ht="18.75" customHeight="1">
      <c r="A297" s="168"/>
      <c r="B297" s="168"/>
      <c r="C297" s="168"/>
    </row>
    <row r="298" spans="1:3" ht="18.75" customHeight="1">
      <c r="A298" s="168"/>
      <c r="B298" s="168"/>
      <c r="C298" s="168"/>
    </row>
    <row r="299" spans="1:3" ht="18.75" customHeight="1">
      <c r="A299" s="168"/>
      <c r="B299" s="168"/>
      <c r="C299" s="168"/>
    </row>
    <row r="300" spans="1:3" ht="18.75" customHeight="1">
      <c r="A300" s="168"/>
      <c r="B300" s="168"/>
      <c r="C300" s="168"/>
    </row>
    <row r="301" spans="1:3" ht="18.75" customHeight="1">
      <c r="A301" s="168"/>
      <c r="B301" s="168"/>
      <c r="C301" s="168"/>
    </row>
    <row r="302" spans="1:3" ht="18.75" customHeight="1">
      <c r="A302" s="168"/>
      <c r="B302" s="168"/>
      <c r="C302" s="168"/>
    </row>
    <row r="303" spans="1:3" ht="18.75" customHeight="1">
      <c r="A303" s="168"/>
      <c r="B303" s="168"/>
      <c r="C303" s="168"/>
    </row>
    <row r="304" spans="1:3" ht="18.75" customHeight="1">
      <c r="A304" s="168"/>
      <c r="B304" s="168"/>
      <c r="C304" s="168"/>
    </row>
    <row r="305" spans="1:3" ht="18.75" customHeight="1">
      <c r="A305" s="168"/>
      <c r="B305" s="168"/>
      <c r="C305" s="168"/>
    </row>
    <row r="306" spans="1:3" ht="18.75" customHeight="1">
      <c r="A306" s="168"/>
      <c r="B306" s="168"/>
      <c r="C306" s="168"/>
    </row>
    <row r="307" spans="1:3" ht="18.75" customHeight="1">
      <c r="A307" s="168"/>
      <c r="B307" s="168"/>
      <c r="C307" s="168"/>
    </row>
    <row r="308" spans="1:3" ht="18.75" customHeight="1">
      <c r="A308" s="168"/>
      <c r="B308" s="168"/>
      <c r="C308" s="168"/>
    </row>
    <row r="309" spans="1:3" ht="18.75" customHeight="1">
      <c r="A309" s="168"/>
      <c r="B309" s="168"/>
      <c r="C309" s="168"/>
    </row>
    <row r="310" spans="1:3" ht="18.75" customHeight="1">
      <c r="A310" s="168"/>
      <c r="B310" s="168"/>
      <c r="C310" s="168"/>
    </row>
    <row r="311" spans="1:3" ht="18.75" customHeight="1">
      <c r="A311" s="168"/>
      <c r="B311" s="168"/>
      <c r="C311" s="168"/>
    </row>
    <row r="312" spans="1:3" ht="18.75" customHeight="1">
      <c r="A312" s="168"/>
      <c r="B312" s="168"/>
      <c r="C312" s="168"/>
    </row>
    <row r="313" spans="1:3" ht="18.75" customHeight="1">
      <c r="A313" s="168"/>
      <c r="B313" s="168"/>
      <c r="C313" s="168"/>
    </row>
    <row r="314" spans="1:3" ht="18.75" customHeight="1">
      <c r="A314" s="168"/>
      <c r="B314" s="168"/>
      <c r="C314" s="168"/>
    </row>
    <row r="315" spans="1:3" ht="18.75" customHeight="1">
      <c r="A315" s="168"/>
      <c r="B315" s="168"/>
      <c r="C315" s="168"/>
    </row>
    <row r="316" spans="1:3" ht="18.75" customHeight="1">
      <c r="A316" s="168"/>
      <c r="B316" s="168"/>
      <c r="C316" s="168"/>
    </row>
    <row r="317" spans="1:3" ht="18.75" customHeight="1">
      <c r="A317" s="168"/>
      <c r="B317" s="168"/>
      <c r="C317" s="168"/>
    </row>
    <row r="318" spans="1:3" ht="18.75" customHeight="1">
      <c r="A318" s="168"/>
      <c r="B318" s="168"/>
      <c r="C318" s="168"/>
    </row>
    <row r="319" spans="1:3" ht="18.75" customHeight="1">
      <c r="A319" s="168"/>
      <c r="B319" s="168"/>
      <c r="C319" s="168"/>
    </row>
    <row r="320" spans="1:3" ht="18.75" customHeight="1">
      <c r="A320" s="168"/>
      <c r="B320" s="168"/>
      <c r="C320" s="168"/>
    </row>
    <row r="321" spans="1:3" ht="18.75" customHeight="1">
      <c r="A321" s="168"/>
      <c r="B321" s="168"/>
      <c r="C321" s="168"/>
    </row>
    <row r="322" spans="1:3" ht="18.75" customHeight="1">
      <c r="A322" s="168"/>
      <c r="B322" s="168"/>
      <c r="C322" s="168"/>
    </row>
    <row r="323" spans="1:3" ht="18.75" customHeight="1">
      <c r="A323" s="168"/>
      <c r="B323" s="168"/>
      <c r="C323" s="168"/>
    </row>
    <row r="324" spans="1:3" ht="18.75" customHeight="1">
      <c r="A324" s="168"/>
      <c r="B324" s="168"/>
      <c r="C324" s="168"/>
    </row>
    <row r="325" spans="1:3" ht="18.75" customHeight="1">
      <c r="A325" s="168"/>
      <c r="B325" s="168"/>
      <c r="C325" s="168"/>
    </row>
    <row r="326" spans="1:3" ht="18.75" customHeight="1">
      <c r="A326" s="168"/>
      <c r="B326" s="168"/>
      <c r="C326" s="168"/>
    </row>
    <row r="327" spans="1:3" ht="18.75" customHeight="1">
      <c r="A327" s="168"/>
      <c r="B327" s="168"/>
      <c r="C327" s="168"/>
    </row>
    <row r="328" spans="1:3" ht="18.75" customHeight="1">
      <c r="A328" s="168"/>
      <c r="B328" s="168"/>
      <c r="C328" s="168"/>
    </row>
    <row r="329" spans="1:3" ht="18.75" customHeight="1">
      <c r="A329" s="168"/>
      <c r="B329" s="168"/>
      <c r="C329" s="168"/>
    </row>
    <row r="330" spans="1:3" ht="18.75" customHeight="1">
      <c r="A330" s="168"/>
      <c r="B330" s="168"/>
      <c r="C330" s="168"/>
    </row>
    <row r="331" spans="1:3" ht="18.75" customHeight="1">
      <c r="A331" s="168"/>
      <c r="B331" s="168"/>
      <c r="C331" s="168"/>
    </row>
    <row r="332" spans="1:3" ht="18.75" customHeight="1">
      <c r="A332" s="168"/>
      <c r="B332" s="168"/>
      <c r="C332" s="168"/>
    </row>
    <row r="333" spans="1:3" ht="18.75" customHeight="1">
      <c r="A333" s="168"/>
      <c r="B333" s="168"/>
      <c r="C333" s="168"/>
    </row>
    <row r="334" spans="1:3" ht="18.75" customHeight="1">
      <c r="A334" s="168"/>
      <c r="B334" s="168"/>
      <c r="C334" s="168"/>
    </row>
    <row r="335" spans="1:3" ht="18.75" customHeight="1">
      <c r="A335" s="168"/>
      <c r="B335" s="168"/>
      <c r="C335" s="168"/>
    </row>
    <row r="336" spans="1:3" ht="18.75" customHeight="1">
      <c r="A336" s="168"/>
      <c r="B336" s="168"/>
      <c r="C336" s="168"/>
    </row>
    <row r="337" spans="1:3" ht="18.75" customHeight="1">
      <c r="A337" s="168"/>
      <c r="B337" s="168"/>
      <c r="C337" s="168"/>
    </row>
    <row r="338" spans="1:3" ht="18.75" customHeight="1">
      <c r="A338" s="168"/>
      <c r="B338" s="168"/>
      <c r="C338" s="168"/>
    </row>
    <row r="339" spans="1:3" ht="18.75" customHeight="1">
      <c r="A339" s="168"/>
      <c r="B339" s="168"/>
      <c r="C339" s="168"/>
    </row>
    <row r="340" spans="1:3" ht="18.75" customHeight="1">
      <c r="A340" s="168"/>
      <c r="B340" s="168"/>
      <c r="C340" s="168"/>
    </row>
    <row r="341" spans="1:3" ht="18.75" customHeight="1">
      <c r="A341" s="168"/>
      <c r="B341" s="168"/>
      <c r="C341" s="168"/>
    </row>
    <row r="342" spans="1:3" ht="18.75" customHeight="1">
      <c r="A342" s="168"/>
      <c r="B342" s="168"/>
      <c r="C342" s="168"/>
    </row>
    <row r="343" spans="1:3" ht="18.75" customHeight="1">
      <c r="A343" s="168"/>
      <c r="B343" s="168"/>
      <c r="C343" s="168"/>
    </row>
    <row r="344" spans="1:3" ht="18.75" customHeight="1">
      <c r="A344" s="168"/>
      <c r="B344" s="168"/>
      <c r="C344" s="168"/>
    </row>
    <row r="345" spans="1:3" ht="18.75" customHeight="1">
      <c r="A345" s="168"/>
      <c r="B345" s="168"/>
      <c r="C345" s="168"/>
    </row>
    <row r="346" spans="1:3" ht="18.75" customHeight="1">
      <c r="A346" s="168"/>
      <c r="B346" s="168"/>
      <c r="C346" s="168"/>
    </row>
    <row r="347" spans="1:3" ht="18.75" customHeight="1">
      <c r="A347" s="168"/>
      <c r="B347" s="168"/>
      <c r="C347" s="168"/>
    </row>
    <row r="348" spans="1:3" ht="18.75" customHeight="1">
      <c r="A348" s="168"/>
      <c r="B348" s="168"/>
      <c r="C348" s="168"/>
    </row>
    <row r="349" spans="1:3" ht="18.75" customHeight="1">
      <c r="A349" s="168"/>
      <c r="B349" s="168"/>
      <c r="C349" s="168"/>
    </row>
    <row r="350" spans="1:3" ht="18.75" customHeight="1">
      <c r="A350" s="168"/>
      <c r="B350" s="168"/>
      <c r="C350" s="168"/>
    </row>
    <row r="351" spans="1:3" ht="18.75" customHeight="1">
      <c r="A351" s="168"/>
      <c r="B351" s="168"/>
      <c r="C351" s="168"/>
    </row>
    <row r="352" spans="1:3" ht="18.75" customHeight="1">
      <c r="A352" s="168"/>
      <c r="B352" s="168"/>
      <c r="C352" s="168"/>
    </row>
    <row r="353" spans="1:3" ht="18.75" customHeight="1">
      <c r="A353" s="168"/>
      <c r="B353" s="168"/>
      <c r="C353" s="168"/>
    </row>
    <row r="354" spans="1:3" ht="18.75" customHeight="1">
      <c r="A354" s="168"/>
      <c r="B354" s="168"/>
      <c r="C354" s="168"/>
    </row>
    <row r="355" spans="1:3" ht="18.75" customHeight="1">
      <c r="A355" s="168"/>
      <c r="B355" s="168"/>
      <c r="C355" s="168"/>
    </row>
    <row r="356" spans="1:3" ht="18.75" customHeight="1">
      <c r="A356" s="168"/>
      <c r="B356" s="168"/>
      <c r="C356" s="168"/>
    </row>
    <row r="357" spans="1:3" ht="18.75" customHeight="1">
      <c r="A357" s="168"/>
      <c r="B357" s="168"/>
      <c r="C357" s="168"/>
    </row>
    <row r="358" spans="1:3" ht="18.75" customHeight="1">
      <c r="A358" s="168"/>
      <c r="B358" s="168"/>
      <c r="C358" s="168"/>
    </row>
    <row r="359" spans="1:3" ht="18.75" customHeight="1">
      <c r="A359" s="168"/>
      <c r="B359" s="168"/>
      <c r="C359" s="168"/>
    </row>
    <row r="360" spans="1:3" ht="18.75" customHeight="1">
      <c r="A360" s="168"/>
      <c r="B360" s="168"/>
      <c r="C360" s="168"/>
    </row>
    <row r="361" spans="1:3" ht="18.75" customHeight="1">
      <c r="A361" s="168"/>
      <c r="B361" s="168"/>
      <c r="C361" s="168"/>
    </row>
    <row r="362" spans="1:3" ht="18.75" customHeight="1">
      <c r="A362" s="168"/>
      <c r="B362" s="168"/>
      <c r="C362" s="168"/>
    </row>
    <row r="363" spans="1:3" ht="18.75" customHeight="1">
      <c r="A363" s="168"/>
      <c r="B363" s="168"/>
      <c r="C363" s="168"/>
    </row>
    <row r="364" spans="1:3" ht="18.75" customHeight="1">
      <c r="A364" s="168"/>
      <c r="B364" s="168"/>
      <c r="C364" s="168"/>
    </row>
    <row r="365" spans="1:3" ht="18.75" customHeight="1">
      <c r="A365" s="168"/>
      <c r="B365" s="168"/>
      <c r="C365" s="168"/>
    </row>
    <row r="366" spans="1:3" ht="18.75" customHeight="1">
      <c r="A366" s="168"/>
      <c r="B366" s="168"/>
      <c r="C366" s="168"/>
    </row>
    <row r="367" spans="1:3" ht="18.75" customHeight="1">
      <c r="A367" s="168"/>
      <c r="B367" s="168"/>
      <c r="C367" s="168"/>
    </row>
    <row r="368" spans="1:3" ht="18.75" customHeight="1">
      <c r="A368" s="168"/>
      <c r="B368" s="168"/>
      <c r="C368" s="168"/>
    </row>
    <row r="369" spans="1:3" ht="18.75" customHeight="1">
      <c r="A369" s="168"/>
      <c r="B369" s="168"/>
      <c r="C369" s="168"/>
    </row>
    <row r="370" spans="1:3" ht="18.75" customHeight="1">
      <c r="A370" s="168"/>
      <c r="B370" s="168"/>
      <c r="C370" s="168"/>
    </row>
    <row r="371" spans="1:3" ht="18.75" customHeight="1">
      <c r="A371" s="168"/>
      <c r="B371" s="168"/>
      <c r="C371" s="168"/>
    </row>
    <row r="372" spans="1:3" ht="18.75" customHeight="1">
      <c r="A372" s="168"/>
      <c r="B372" s="168"/>
      <c r="C372" s="168"/>
    </row>
    <row r="373" spans="1:3" ht="18.75" customHeight="1">
      <c r="A373" s="168"/>
      <c r="B373" s="168"/>
      <c r="C373" s="168"/>
    </row>
    <row r="374" spans="1:3" ht="18.75" customHeight="1">
      <c r="A374" s="168"/>
      <c r="B374" s="168"/>
      <c r="C374" s="168"/>
    </row>
    <row r="375" spans="1:3" ht="18.75" customHeight="1">
      <c r="A375" s="168"/>
      <c r="B375" s="168"/>
      <c r="C375" s="168"/>
    </row>
    <row r="376" spans="1:3" ht="18.75" customHeight="1">
      <c r="A376" s="168"/>
      <c r="B376" s="168"/>
      <c r="C376" s="168"/>
    </row>
    <row r="377" spans="1:3" ht="18.75" customHeight="1">
      <c r="A377" s="168"/>
      <c r="B377" s="168"/>
      <c r="C377" s="168"/>
    </row>
    <row r="378" spans="1:3" ht="18.75" customHeight="1">
      <c r="A378" s="168"/>
      <c r="B378" s="168"/>
      <c r="C378" s="168"/>
    </row>
    <row r="379" spans="1:3" ht="18.75" customHeight="1">
      <c r="A379" s="168"/>
      <c r="B379" s="168"/>
      <c r="C379" s="168"/>
    </row>
    <row r="380" spans="1:3" ht="18.75" customHeight="1">
      <c r="A380" s="168"/>
      <c r="B380" s="168"/>
      <c r="C380" s="168"/>
    </row>
    <row r="381" spans="1:3" ht="18.75" customHeight="1">
      <c r="A381" s="168"/>
      <c r="B381" s="168"/>
      <c r="C381" s="168"/>
    </row>
    <row r="382" spans="1:3" ht="18.75" customHeight="1">
      <c r="A382" s="168"/>
      <c r="B382" s="168"/>
      <c r="C382" s="168"/>
    </row>
    <row r="383" spans="1:3" ht="18.75" customHeight="1">
      <c r="A383" s="168"/>
      <c r="B383" s="168"/>
      <c r="C383" s="168"/>
    </row>
    <row r="384" spans="1:3" ht="18.75" customHeight="1">
      <c r="A384" s="168"/>
      <c r="B384" s="168"/>
      <c r="C384" s="168"/>
    </row>
    <row r="385" spans="1:3" ht="18.75" customHeight="1">
      <c r="A385" s="168"/>
      <c r="B385" s="168"/>
      <c r="C385" s="168"/>
    </row>
    <row r="386" spans="1:3" ht="18.75" customHeight="1">
      <c r="A386" s="168"/>
      <c r="B386" s="168"/>
      <c r="C386" s="168"/>
    </row>
    <row r="387" spans="1:3" ht="18.75" customHeight="1">
      <c r="A387" s="168"/>
      <c r="B387" s="168"/>
      <c r="C387" s="168"/>
    </row>
    <row r="388" spans="1:3" ht="18.75" customHeight="1">
      <c r="A388" s="168"/>
      <c r="B388" s="168"/>
      <c r="C388" s="168"/>
    </row>
    <row r="389" spans="1:3" ht="18.75" customHeight="1">
      <c r="A389" s="168"/>
      <c r="B389" s="168"/>
      <c r="C389" s="168"/>
    </row>
    <row r="390" spans="1:3" ht="18.75" customHeight="1">
      <c r="A390" s="168"/>
      <c r="B390" s="168"/>
      <c r="C390" s="168"/>
    </row>
    <row r="391" spans="1:3" ht="18.75" customHeight="1">
      <c r="A391" s="168"/>
      <c r="B391" s="168"/>
      <c r="C391" s="168"/>
    </row>
    <row r="392" spans="1:3" ht="18.75" customHeight="1">
      <c r="A392" s="168"/>
      <c r="B392" s="168"/>
      <c r="C392" s="168"/>
    </row>
    <row r="393" spans="1:3" ht="18.75" customHeight="1">
      <c r="A393" s="168"/>
      <c r="B393" s="168"/>
      <c r="C393" s="168"/>
    </row>
    <row r="394" spans="1:3" ht="18.75" customHeight="1">
      <c r="A394" s="168"/>
      <c r="B394" s="168"/>
      <c r="C394" s="168"/>
    </row>
    <row r="395" spans="1:3" ht="18.75" customHeight="1">
      <c r="A395" s="168"/>
      <c r="B395" s="168"/>
      <c r="C395" s="168"/>
    </row>
    <row r="396" spans="1:3" ht="18.75" customHeight="1">
      <c r="A396" s="168"/>
      <c r="B396" s="168"/>
      <c r="C396" s="168"/>
    </row>
    <row r="397" spans="1:3" ht="18.75" customHeight="1">
      <c r="A397" s="168"/>
      <c r="B397" s="168"/>
      <c r="C397" s="168"/>
    </row>
    <row r="398" spans="1:3" ht="18.75" customHeight="1">
      <c r="A398" s="168"/>
      <c r="B398" s="168"/>
      <c r="C398" s="168"/>
    </row>
    <row r="399" spans="1:3" ht="18.75" customHeight="1">
      <c r="A399" s="168"/>
      <c r="B399" s="168"/>
      <c r="C399" s="168"/>
    </row>
    <row r="400" spans="1:3" ht="18.75" customHeight="1">
      <c r="A400" s="168"/>
      <c r="B400" s="168"/>
      <c r="C400" s="168"/>
    </row>
    <row r="401" spans="1:3" ht="18.75" customHeight="1">
      <c r="A401" s="168"/>
      <c r="B401" s="168"/>
      <c r="C401" s="168"/>
    </row>
    <row r="402" spans="1:3" ht="18.75" customHeight="1">
      <c r="A402" s="168"/>
      <c r="B402" s="168"/>
      <c r="C402" s="168"/>
    </row>
    <row r="403" spans="1:3" ht="18.75" customHeight="1">
      <c r="A403" s="168"/>
      <c r="B403" s="168"/>
      <c r="C403" s="168"/>
    </row>
    <row r="404" spans="1:3" ht="18.75" customHeight="1">
      <c r="A404" s="168"/>
      <c r="B404" s="168"/>
      <c r="C404" s="168"/>
    </row>
    <row r="405" spans="1:3" ht="18.75" customHeight="1">
      <c r="A405" s="168"/>
      <c r="B405" s="168"/>
      <c r="C405" s="168"/>
    </row>
    <row r="406" spans="1:3" ht="18.75" customHeight="1">
      <c r="A406" s="168"/>
      <c r="B406" s="168"/>
      <c r="C406" s="168"/>
    </row>
    <row r="407" spans="1:3" ht="18.75" customHeight="1">
      <c r="A407" s="168"/>
      <c r="B407" s="168"/>
      <c r="C407" s="168"/>
    </row>
    <row r="408" spans="1:3" ht="18.75" customHeight="1">
      <c r="A408" s="168"/>
      <c r="B408" s="168"/>
      <c r="C408" s="168"/>
    </row>
    <row r="409" spans="1:3" ht="18.75" customHeight="1">
      <c r="A409" s="168"/>
      <c r="B409" s="168"/>
      <c r="C409" s="168"/>
    </row>
    <row r="410" spans="1:3" ht="18.75" customHeight="1">
      <c r="A410" s="168"/>
      <c r="B410" s="168"/>
      <c r="C410" s="168"/>
    </row>
    <row r="411" spans="1:3" ht="18.75" customHeight="1">
      <c r="A411" s="168"/>
      <c r="B411" s="168"/>
      <c r="C411" s="168"/>
    </row>
    <row r="412" spans="1:3" ht="18.75" customHeight="1">
      <c r="A412" s="168"/>
      <c r="B412" s="168"/>
      <c r="C412" s="168"/>
    </row>
    <row r="413" spans="1:3" ht="18.75" customHeight="1">
      <c r="A413" s="168"/>
      <c r="B413" s="168"/>
      <c r="C413" s="168"/>
    </row>
    <row r="414" spans="1:3" ht="18.75" customHeight="1">
      <c r="A414" s="168"/>
      <c r="B414" s="168"/>
      <c r="C414" s="168"/>
    </row>
    <row r="415" spans="1:3" ht="18.75" customHeight="1">
      <c r="A415" s="168"/>
      <c r="B415" s="168"/>
      <c r="C415" s="168"/>
    </row>
    <row r="416" spans="1:3" ht="18.75" customHeight="1">
      <c r="A416" s="168"/>
      <c r="B416" s="168"/>
      <c r="C416" s="168"/>
    </row>
    <row r="417" spans="1:3" ht="18.75" customHeight="1">
      <c r="A417" s="168"/>
      <c r="B417" s="168"/>
      <c r="C417" s="168"/>
    </row>
    <row r="418" spans="1:3" ht="18.75" customHeight="1">
      <c r="A418" s="168"/>
      <c r="B418" s="168"/>
      <c r="C418" s="168"/>
    </row>
    <row r="419" spans="1:3" ht="18.75" customHeight="1">
      <c r="A419" s="168"/>
      <c r="B419" s="168"/>
      <c r="C419" s="168"/>
    </row>
    <row r="420" spans="1:3" ht="18.75" customHeight="1">
      <c r="A420" s="168"/>
      <c r="B420" s="168"/>
      <c r="C420" s="168"/>
    </row>
    <row r="421" spans="1:3" ht="18.75" customHeight="1">
      <c r="A421" s="168"/>
      <c r="B421" s="168"/>
      <c r="C421" s="168"/>
    </row>
    <row r="422" spans="1:3" ht="18.75" customHeight="1">
      <c r="A422" s="168"/>
      <c r="B422" s="168"/>
      <c r="C422" s="168"/>
    </row>
    <row r="423" spans="1:3" ht="18.75" customHeight="1">
      <c r="A423" s="168"/>
      <c r="B423" s="168"/>
      <c r="C423" s="168"/>
    </row>
    <row r="424" spans="1:3" ht="18.75" customHeight="1">
      <c r="A424" s="168"/>
      <c r="B424" s="168"/>
      <c r="C424" s="168"/>
    </row>
    <row r="425" spans="1:3" ht="18.75" customHeight="1">
      <c r="A425" s="168"/>
      <c r="B425" s="168"/>
      <c r="C425" s="168"/>
    </row>
    <row r="426" spans="1:3" ht="18.75" customHeight="1">
      <c r="A426" s="168"/>
      <c r="B426" s="168"/>
      <c r="C426" s="168"/>
    </row>
    <row r="427" spans="1:3" ht="18.75" customHeight="1">
      <c r="A427" s="168"/>
      <c r="B427" s="168"/>
      <c r="C427" s="168"/>
    </row>
    <row r="428" spans="1:3" ht="18.75" customHeight="1">
      <c r="A428" s="168"/>
      <c r="B428" s="168"/>
      <c r="C428" s="168"/>
    </row>
    <row r="429" spans="1:3" ht="18.75" customHeight="1">
      <c r="A429" s="168"/>
      <c r="B429" s="168"/>
      <c r="C429" s="168"/>
    </row>
    <row r="430" spans="1:3" ht="18.75" customHeight="1">
      <c r="A430" s="168"/>
      <c r="B430" s="168"/>
      <c r="C430" s="168"/>
    </row>
    <row r="431" spans="1:3" ht="18.75" customHeight="1">
      <c r="A431" s="168"/>
      <c r="B431" s="168"/>
      <c r="C431" s="168"/>
    </row>
    <row r="432" spans="1:3" ht="18.75" customHeight="1">
      <c r="A432" s="168"/>
      <c r="B432" s="168"/>
      <c r="C432" s="168"/>
    </row>
    <row r="433" spans="1:3" ht="18.75" customHeight="1">
      <c r="A433" s="168"/>
      <c r="B433" s="168"/>
      <c r="C433" s="168"/>
    </row>
    <row r="434" spans="1:3" ht="18.75" customHeight="1">
      <c r="A434" s="168"/>
      <c r="B434" s="168"/>
      <c r="C434" s="168"/>
    </row>
    <row r="435" spans="1:3" ht="18.75" customHeight="1">
      <c r="A435" s="168"/>
      <c r="B435" s="168"/>
      <c r="C435" s="168"/>
    </row>
    <row r="436" spans="1:3" ht="18.75" customHeight="1">
      <c r="A436" s="168"/>
      <c r="B436" s="168"/>
      <c r="C436" s="168"/>
    </row>
    <row r="437" spans="1:3" ht="18.75" customHeight="1">
      <c r="A437" s="168"/>
      <c r="B437" s="168"/>
      <c r="C437" s="168"/>
    </row>
    <row r="438" spans="1:3" ht="18.75" customHeight="1">
      <c r="A438" s="168"/>
      <c r="B438" s="168"/>
      <c r="C438" s="168"/>
    </row>
    <row r="439" spans="1:3" ht="18.75" customHeight="1">
      <c r="A439" s="168"/>
      <c r="B439" s="168"/>
      <c r="C439" s="168"/>
    </row>
    <row r="440" spans="1:3" ht="18.75" customHeight="1">
      <c r="A440" s="168"/>
      <c r="B440" s="168"/>
      <c r="C440" s="168"/>
    </row>
    <row r="441" spans="1:3" ht="18.75" customHeight="1">
      <c r="A441" s="168"/>
      <c r="B441" s="168"/>
      <c r="C441" s="168"/>
    </row>
    <row r="442" spans="1:3" ht="18.75" customHeight="1">
      <c r="A442" s="168"/>
      <c r="B442" s="168"/>
      <c r="C442" s="168"/>
    </row>
    <row r="443" spans="1:3" ht="18.75" customHeight="1">
      <c r="A443" s="168"/>
      <c r="B443" s="168"/>
      <c r="C443" s="168"/>
    </row>
    <row r="444" spans="1:3" ht="18.75" customHeight="1">
      <c r="A444" s="168"/>
      <c r="B444" s="168"/>
      <c r="C444" s="168"/>
    </row>
    <row r="445" spans="1:3" ht="18.75" customHeight="1">
      <c r="A445" s="168"/>
      <c r="B445" s="168"/>
      <c r="C445" s="168"/>
    </row>
    <row r="446" spans="1:3" ht="18.75" customHeight="1">
      <c r="A446" s="168"/>
      <c r="B446" s="168"/>
      <c r="C446" s="168"/>
    </row>
    <row r="447" spans="1:3" ht="18.75" customHeight="1">
      <c r="A447" s="168"/>
      <c r="B447" s="168"/>
      <c r="C447" s="168"/>
    </row>
    <row r="448" spans="1:3" ht="18.75" customHeight="1">
      <c r="A448" s="168"/>
      <c r="B448" s="168"/>
      <c r="C448" s="168"/>
    </row>
    <row r="449" spans="1:3" ht="18.75" customHeight="1">
      <c r="A449" s="168"/>
      <c r="B449" s="168"/>
      <c r="C449" s="168"/>
    </row>
    <row r="450" spans="1:3" ht="18.75" customHeight="1">
      <c r="A450" s="168"/>
      <c r="B450" s="168"/>
      <c r="C450" s="168"/>
    </row>
    <row r="451" spans="1:3" ht="18.75" customHeight="1">
      <c r="A451" s="168"/>
      <c r="B451" s="168"/>
      <c r="C451" s="168"/>
    </row>
    <row r="452" spans="1:3" ht="18.75" customHeight="1">
      <c r="A452" s="168"/>
      <c r="B452" s="168"/>
      <c r="C452" s="168"/>
    </row>
    <row r="453" spans="1:3" ht="18.75" customHeight="1">
      <c r="A453" s="168"/>
      <c r="B453" s="168"/>
      <c r="C453" s="168"/>
    </row>
    <row r="454" spans="1:3" ht="18.75" customHeight="1">
      <c r="A454" s="168"/>
      <c r="B454" s="168"/>
      <c r="C454" s="168"/>
    </row>
    <row r="455" spans="1:3" ht="18.75" customHeight="1">
      <c r="A455" s="168"/>
      <c r="B455" s="168"/>
      <c r="C455" s="168"/>
    </row>
    <row r="456" spans="1:3" ht="18.75" customHeight="1">
      <c r="A456" s="168"/>
      <c r="B456" s="168"/>
      <c r="C456" s="168"/>
    </row>
    <row r="457" spans="1:3" ht="18.75" customHeight="1">
      <c r="A457" s="168"/>
      <c r="B457" s="168"/>
      <c r="C457" s="168"/>
    </row>
    <row r="458" spans="1:3" ht="18.75" customHeight="1">
      <c r="A458" s="168"/>
      <c r="B458" s="168"/>
      <c r="C458" s="168"/>
    </row>
    <row r="459" spans="1:3" ht="18.75" customHeight="1">
      <c r="A459" s="168"/>
      <c r="B459" s="168"/>
      <c r="C459" s="168"/>
    </row>
    <row r="460" spans="1:3" ht="18.75" customHeight="1">
      <c r="A460" s="168"/>
      <c r="B460" s="168"/>
      <c r="C460" s="168"/>
    </row>
    <row r="461" spans="1:3" ht="18.75" customHeight="1">
      <c r="A461" s="168"/>
      <c r="B461" s="168"/>
      <c r="C461" s="168"/>
    </row>
    <row r="462" spans="1:3" ht="18.75" customHeight="1">
      <c r="A462" s="168"/>
      <c r="B462" s="168"/>
      <c r="C462" s="168"/>
    </row>
    <row r="463" spans="1:3" ht="18.75" customHeight="1">
      <c r="A463" s="168"/>
      <c r="B463" s="168"/>
      <c r="C463" s="168"/>
    </row>
    <row r="464" spans="1:3" ht="18.75" customHeight="1">
      <c r="A464" s="168"/>
      <c r="B464" s="168"/>
      <c r="C464" s="168"/>
    </row>
    <row r="465" spans="1:3" ht="18.75" customHeight="1">
      <c r="A465" s="168"/>
      <c r="B465" s="168"/>
      <c r="C465" s="168"/>
    </row>
    <row r="466" spans="1:3" ht="18.75" customHeight="1">
      <c r="A466" s="168"/>
      <c r="B466" s="168"/>
      <c r="C466" s="168"/>
    </row>
    <row r="467" spans="1:3" ht="18.75" customHeight="1">
      <c r="A467" s="168"/>
      <c r="B467" s="168"/>
      <c r="C467" s="168"/>
    </row>
    <row r="468" spans="1:3" ht="18.75" customHeight="1">
      <c r="A468" s="168"/>
      <c r="B468" s="168"/>
      <c r="C468" s="168"/>
    </row>
    <row r="469" spans="1:3" ht="18.75" customHeight="1">
      <c r="A469" s="168"/>
      <c r="B469" s="168"/>
      <c r="C469" s="168"/>
    </row>
    <row r="470" spans="1:3" ht="18.75" customHeight="1">
      <c r="A470" s="168"/>
      <c r="B470" s="168"/>
      <c r="C470" s="168"/>
    </row>
    <row r="471" spans="1:3" ht="18.75" customHeight="1">
      <c r="A471" s="168"/>
      <c r="B471" s="168"/>
      <c r="C471" s="168"/>
    </row>
    <row r="472" spans="1:3" ht="18.75" customHeight="1">
      <c r="A472" s="168"/>
      <c r="B472" s="168"/>
      <c r="C472" s="168"/>
    </row>
    <row r="473" spans="1:3" ht="18.75" customHeight="1">
      <c r="A473" s="168"/>
      <c r="B473" s="168"/>
      <c r="C473" s="168"/>
    </row>
    <row r="474" spans="1:3" ht="18.75" customHeight="1">
      <c r="A474" s="168"/>
      <c r="B474" s="168"/>
      <c r="C474" s="168"/>
    </row>
    <row r="475" spans="1:3" ht="18.75" customHeight="1">
      <c r="A475" s="168"/>
      <c r="B475" s="168"/>
      <c r="C475" s="168"/>
    </row>
    <row r="476" spans="1:3" ht="18.75" customHeight="1">
      <c r="A476" s="168"/>
      <c r="B476" s="168"/>
      <c r="C476" s="168"/>
    </row>
    <row r="477" spans="1:3" ht="18.75" customHeight="1">
      <c r="A477" s="168"/>
      <c r="B477" s="168"/>
      <c r="C477" s="168"/>
    </row>
    <row r="478" spans="1:3" ht="18.75" customHeight="1">
      <c r="A478" s="168"/>
      <c r="B478" s="168"/>
      <c r="C478" s="168"/>
    </row>
    <row r="479" spans="1:3" ht="18.75" customHeight="1">
      <c r="A479" s="168"/>
      <c r="B479" s="168"/>
      <c r="C479" s="168"/>
    </row>
    <row r="480" spans="1:3" ht="18.75" customHeight="1">
      <c r="A480" s="168"/>
      <c r="B480" s="168"/>
      <c r="C480" s="168"/>
    </row>
    <row r="481" spans="1:3" ht="18.75" customHeight="1">
      <c r="A481" s="168"/>
      <c r="B481" s="168"/>
      <c r="C481" s="168"/>
    </row>
    <row r="482" spans="1:3" ht="18.75" customHeight="1">
      <c r="A482" s="168"/>
      <c r="B482" s="168"/>
      <c r="C482" s="168"/>
    </row>
    <row r="483" spans="1:3" ht="18.75" customHeight="1">
      <c r="A483" s="168"/>
      <c r="B483" s="168"/>
      <c r="C483" s="168"/>
    </row>
    <row r="484" spans="1:3" ht="18.75" customHeight="1">
      <c r="A484" s="168"/>
      <c r="B484" s="168"/>
      <c r="C484" s="168"/>
    </row>
    <row r="485" spans="1:3" ht="18.75" customHeight="1">
      <c r="A485" s="168"/>
      <c r="B485" s="168"/>
      <c r="C485" s="168"/>
    </row>
    <row r="486" spans="1:3" ht="18.75" customHeight="1">
      <c r="A486" s="168"/>
      <c r="B486" s="168"/>
      <c r="C486" s="168"/>
    </row>
    <row r="487" spans="1:3" ht="18.75" customHeight="1">
      <c r="A487" s="168"/>
      <c r="B487" s="168"/>
      <c r="C487" s="168"/>
    </row>
    <row r="488" spans="1:3" ht="18.75" customHeight="1">
      <c r="A488" s="168"/>
      <c r="B488" s="168"/>
      <c r="C488" s="168"/>
    </row>
    <row r="489" spans="1:3" ht="18.75" customHeight="1">
      <c r="A489" s="168"/>
      <c r="B489" s="168"/>
      <c r="C489" s="168"/>
    </row>
    <row r="490" spans="1:3" ht="18.75" customHeight="1">
      <c r="A490" s="168"/>
      <c r="B490" s="168"/>
      <c r="C490" s="168"/>
    </row>
    <row r="491" spans="1:3" ht="18.75" customHeight="1">
      <c r="A491" s="168"/>
      <c r="B491" s="168"/>
      <c r="C491" s="168"/>
    </row>
    <row r="492" spans="1:3" ht="18.75" customHeight="1">
      <c r="A492" s="168"/>
      <c r="B492" s="168"/>
      <c r="C492" s="168"/>
    </row>
    <row r="493" spans="1:3" ht="18.75" customHeight="1">
      <c r="A493" s="168"/>
      <c r="B493" s="168"/>
      <c r="C493" s="168"/>
    </row>
    <row r="494" spans="1:3" ht="18.75" customHeight="1">
      <c r="A494" s="168"/>
      <c r="B494" s="168"/>
      <c r="C494" s="168"/>
    </row>
    <row r="495" spans="1:3" ht="18.75" customHeight="1">
      <c r="A495" s="168"/>
      <c r="B495" s="168"/>
      <c r="C495" s="168"/>
    </row>
    <row r="496" spans="1:3" ht="18.75" customHeight="1">
      <c r="A496" s="168"/>
      <c r="B496" s="168"/>
      <c r="C496" s="168"/>
    </row>
    <row r="497" spans="1:3" ht="18.75" customHeight="1">
      <c r="A497" s="168"/>
      <c r="B497" s="168"/>
      <c r="C497" s="168"/>
    </row>
    <row r="498" spans="1:3" ht="18.75" customHeight="1">
      <c r="A498" s="168"/>
      <c r="B498" s="168"/>
      <c r="C498" s="168"/>
    </row>
    <row r="499" spans="1:3" ht="18.75" customHeight="1">
      <c r="A499" s="168"/>
      <c r="B499" s="168"/>
      <c r="C499" s="168"/>
    </row>
    <row r="500" spans="1:3" ht="18.75" customHeight="1">
      <c r="A500" s="168"/>
      <c r="B500" s="168"/>
      <c r="C500" s="168"/>
    </row>
    <row r="501" spans="1:3" ht="18.75" customHeight="1">
      <c r="A501" s="168"/>
      <c r="B501" s="168"/>
      <c r="C501" s="168"/>
    </row>
    <row r="502" spans="1:3" ht="18.75" customHeight="1">
      <c r="A502" s="168"/>
      <c r="B502" s="168"/>
      <c r="C502" s="168"/>
    </row>
    <row r="503" spans="1:3" ht="18.75" customHeight="1">
      <c r="A503" s="168"/>
      <c r="B503" s="168"/>
      <c r="C503" s="168"/>
    </row>
    <row r="504" spans="1:3" ht="18.75" customHeight="1">
      <c r="A504" s="168"/>
      <c r="B504" s="168"/>
      <c r="C504" s="168"/>
    </row>
    <row r="505" spans="1:3" ht="18.75" customHeight="1">
      <c r="A505" s="168"/>
      <c r="B505" s="168"/>
      <c r="C505" s="168"/>
    </row>
    <row r="506" spans="1:3" ht="18.75" customHeight="1">
      <c r="A506" s="168"/>
      <c r="B506" s="168"/>
      <c r="C506" s="168"/>
    </row>
    <row r="507" spans="1:3" ht="18.75" customHeight="1">
      <c r="A507" s="168"/>
      <c r="B507" s="168"/>
      <c r="C507" s="168"/>
    </row>
    <row r="508" spans="1:3" ht="18.75" customHeight="1">
      <c r="A508" s="168"/>
      <c r="B508" s="168"/>
      <c r="C508" s="168"/>
    </row>
    <row r="509" spans="1:3" ht="18.75" customHeight="1">
      <c r="A509" s="168"/>
      <c r="B509" s="168"/>
      <c r="C509" s="168"/>
    </row>
    <row r="510" spans="1:3" ht="18.75" customHeight="1">
      <c r="A510" s="168"/>
      <c r="B510" s="168"/>
      <c r="C510" s="168"/>
    </row>
    <row r="511" spans="1:3" ht="18.75" customHeight="1">
      <c r="A511" s="168"/>
      <c r="B511" s="168"/>
      <c r="C511" s="168"/>
    </row>
    <row r="512" spans="1:3" ht="18.75" customHeight="1">
      <c r="A512" s="168"/>
      <c r="B512" s="168"/>
      <c r="C512" s="168"/>
    </row>
    <row r="513" spans="1:3" ht="18.75" customHeight="1">
      <c r="A513" s="168"/>
      <c r="B513" s="168"/>
      <c r="C513" s="168"/>
    </row>
    <row r="514" spans="1:3" ht="18.75" customHeight="1">
      <c r="A514" s="168"/>
      <c r="B514" s="168"/>
      <c r="C514" s="168"/>
    </row>
    <row r="515" spans="1:3" ht="18.75" customHeight="1">
      <c r="A515" s="168"/>
      <c r="B515" s="168"/>
      <c r="C515" s="168"/>
    </row>
    <row r="516" spans="1:3" ht="18.75" customHeight="1">
      <c r="A516" s="168"/>
      <c r="B516" s="168"/>
      <c r="C516" s="168"/>
    </row>
    <row r="517" spans="1:3" ht="18.75" customHeight="1">
      <c r="A517" s="168"/>
      <c r="B517" s="168"/>
      <c r="C517" s="168"/>
    </row>
    <row r="518" spans="1:3" ht="18.75" customHeight="1">
      <c r="A518" s="168"/>
      <c r="B518" s="168"/>
      <c r="C518" s="168"/>
    </row>
    <row r="519" spans="1:3" ht="18.75" customHeight="1">
      <c r="A519" s="168"/>
      <c r="B519" s="168"/>
      <c r="C519" s="168"/>
    </row>
    <row r="520" spans="1:3" ht="18.75" customHeight="1">
      <c r="A520" s="168"/>
      <c r="B520" s="168"/>
      <c r="C520" s="168"/>
    </row>
    <row r="521" spans="1:3" ht="18.75" customHeight="1">
      <c r="A521" s="168"/>
      <c r="B521" s="168"/>
      <c r="C521" s="168"/>
    </row>
    <row r="522" spans="1:3" ht="18.75" customHeight="1">
      <c r="A522" s="168"/>
      <c r="B522" s="168"/>
      <c r="C522" s="168"/>
    </row>
    <row r="523" spans="1:3" ht="18.75" customHeight="1">
      <c r="A523" s="168"/>
      <c r="B523" s="168"/>
      <c r="C523" s="168"/>
    </row>
    <row r="524" spans="1:3" ht="18.75" customHeight="1">
      <c r="A524" s="168"/>
      <c r="B524" s="168"/>
      <c r="C524" s="168"/>
    </row>
    <row r="525" spans="1:3" ht="18.75" customHeight="1">
      <c r="A525" s="168"/>
      <c r="B525" s="168"/>
      <c r="C525" s="168"/>
    </row>
    <row r="526" spans="1:3" ht="18.75" customHeight="1">
      <c r="A526" s="168"/>
      <c r="B526" s="168"/>
      <c r="C526" s="168"/>
    </row>
    <row r="527" spans="1:3" ht="18.75" customHeight="1">
      <c r="A527" s="168"/>
      <c r="B527" s="168"/>
      <c r="C527" s="168"/>
    </row>
    <row r="528" spans="1:3" ht="18.75" customHeight="1">
      <c r="A528" s="168"/>
      <c r="B528" s="168"/>
      <c r="C528" s="168"/>
    </row>
    <row r="529" spans="1:3" ht="18.75" customHeight="1">
      <c r="A529" s="168"/>
      <c r="B529" s="168"/>
      <c r="C529" s="168"/>
    </row>
    <row r="530" spans="1:3" ht="18.75" customHeight="1">
      <c r="A530" s="168"/>
      <c r="B530" s="168"/>
      <c r="C530" s="168"/>
    </row>
    <row r="531" spans="1:3" ht="18.75" customHeight="1">
      <c r="A531" s="168"/>
      <c r="B531" s="168"/>
      <c r="C531" s="168"/>
    </row>
    <row r="532" spans="1:3" ht="18.75" customHeight="1">
      <c r="A532" s="168"/>
      <c r="B532" s="168"/>
      <c r="C532" s="168"/>
    </row>
    <row r="533" spans="1:3" ht="18.75" customHeight="1">
      <c r="A533" s="168"/>
      <c r="B533" s="168"/>
      <c r="C533" s="168"/>
    </row>
    <row r="534" spans="1:3" ht="18.75" customHeight="1">
      <c r="A534" s="168"/>
      <c r="B534" s="168"/>
      <c r="C534" s="168"/>
    </row>
    <row r="535" spans="1:3" ht="18.75" customHeight="1">
      <c r="A535" s="168"/>
      <c r="B535" s="168"/>
      <c r="C535" s="168"/>
    </row>
    <row r="536" spans="1:3" ht="18.75" customHeight="1">
      <c r="A536" s="168"/>
      <c r="B536" s="168"/>
      <c r="C536" s="168"/>
    </row>
    <row r="537" spans="1:3" ht="18.75" customHeight="1">
      <c r="A537" s="168"/>
      <c r="B537" s="168"/>
      <c r="C537" s="168"/>
    </row>
    <row r="538" spans="1:3" ht="18.75" customHeight="1">
      <c r="A538" s="168"/>
      <c r="B538" s="168"/>
      <c r="C538" s="168"/>
    </row>
    <row r="539" spans="1:3" ht="18.75" customHeight="1">
      <c r="A539" s="168"/>
      <c r="B539" s="168"/>
      <c r="C539" s="168"/>
    </row>
    <row r="540" spans="1:3" ht="18.75" customHeight="1">
      <c r="A540" s="168"/>
      <c r="B540" s="168"/>
      <c r="C540" s="168"/>
    </row>
    <row r="541" spans="1:3" ht="18.75" customHeight="1">
      <c r="A541" s="168"/>
      <c r="B541" s="168"/>
      <c r="C541" s="168"/>
    </row>
    <row r="542" spans="1:3" ht="18.75" customHeight="1">
      <c r="A542" s="168"/>
      <c r="B542" s="168"/>
      <c r="C542" s="168"/>
    </row>
    <row r="543" spans="1:3" ht="18.75" customHeight="1">
      <c r="A543" s="168"/>
      <c r="B543" s="168"/>
      <c r="C543" s="168"/>
    </row>
    <row r="544" spans="1:3" ht="18.75" customHeight="1">
      <c r="A544" s="168"/>
      <c r="B544" s="168"/>
      <c r="C544" s="168"/>
    </row>
    <row r="545" spans="1:3" ht="18.75" customHeight="1">
      <c r="A545" s="168"/>
      <c r="B545" s="168"/>
      <c r="C545" s="168"/>
    </row>
    <row r="546" spans="1:3" ht="18.75" customHeight="1">
      <c r="A546" s="168"/>
      <c r="B546" s="168"/>
      <c r="C546" s="168"/>
    </row>
    <row r="547" spans="1:3" ht="18.75" customHeight="1">
      <c r="A547" s="168"/>
      <c r="B547" s="168"/>
      <c r="C547" s="168"/>
    </row>
    <row r="548" spans="1:3" ht="18.75" customHeight="1">
      <c r="A548" s="168"/>
      <c r="B548" s="168"/>
      <c r="C548" s="168"/>
    </row>
    <row r="549" spans="1:3" ht="18.75" customHeight="1">
      <c r="A549" s="168"/>
      <c r="B549" s="168"/>
      <c r="C549" s="168"/>
    </row>
    <row r="550" spans="1:3" ht="18.75" customHeight="1">
      <c r="A550" s="168"/>
      <c r="B550" s="168"/>
      <c r="C550" s="168"/>
    </row>
    <row r="551" spans="1:3" ht="18.75" customHeight="1">
      <c r="A551" s="168"/>
      <c r="B551" s="168"/>
      <c r="C551" s="168"/>
    </row>
    <row r="552" spans="1:3" ht="18.75" customHeight="1">
      <c r="A552" s="168"/>
      <c r="B552" s="168"/>
      <c r="C552" s="168"/>
    </row>
    <row r="553" spans="1:3" ht="18.75" customHeight="1">
      <c r="A553" s="168"/>
      <c r="B553" s="168"/>
      <c r="C553" s="168"/>
    </row>
    <row r="554" spans="1:3" ht="18.75" customHeight="1">
      <c r="A554" s="168"/>
      <c r="B554" s="168"/>
      <c r="C554" s="168"/>
    </row>
    <row r="555" spans="1:3" ht="18.75" customHeight="1">
      <c r="A555" s="168"/>
      <c r="B555" s="168"/>
      <c r="C555" s="168"/>
    </row>
    <row r="556" spans="1:3" ht="18.75" customHeight="1">
      <c r="A556" s="168"/>
      <c r="B556" s="168"/>
      <c r="C556" s="168"/>
    </row>
    <row r="557" spans="1:3" ht="18.75" customHeight="1">
      <c r="A557" s="168"/>
      <c r="B557" s="168"/>
      <c r="C557" s="168"/>
    </row>
    <row r="558" spans="1:3" ht="18.75" customHeight="1">
      <c r="A558" s="168"/>
      <c r="B558" s="168"/>
      <c r="C558" s="168"/>
    </row>
    <row r="559" spans="1:3" ht="18.75" customHeight="1">
      <c r="A559" s="168"/>
      <c r="B559" s="168"/>
      <c r="C559" s="168"/>
    </row>
    <row r="560" spans="1:3" ht="18.75" customHeight="1">
      <c r="A560" s="168"/>
      <c r="B560" s="168"/>
      <c r="C560" s="168"/>
    </row>
    <row r="561" spans="1:3" ht="18.75" customHeight="1">
      <c r="A561" s="168"/>
      <c r="B561" s="168"/>
      <c r="C561" s="168"/>
    </row>
    <row r="562" spans="1:3" ht="18.75" customHeight="1">
      <c r="A562" s="168"/>
      <c r="B562" s="168"/>
      <c r="C562" s="168"/>
    </row>
    <row r="563" spans="1:3" ht="18.75" customHeight="1">
      <c r="A563" s="168"/>
      <c r="B563" s="168"/>
      <c r="C563" s="168"/>
    </row>
    <row r="564" spans="1:3" ht="18.75" customHeight="1">
      <c r="A564" s="168"/>
      <c r="B564" s="168"/>
      <c r="C564" s="168"/>
    </row>
    <row r="565" spans="1:3" ht="18.75" customHeight="1">
      <c r="A565" s="168"/>
      <c r="B565" s="168"/>
      <c r="C565" s="168"/>
    </row>
    <row r="566" spans="1:3" ht="18.75" customHeight="1">
      <c r="A566" s="168"/>
      <c r="B566" s="168"/>
      <c r="C566" s="168"/>
    </row>
    <row r="567" spans="1:3" ht="18.75" customHeight="1">
      <c r="A567" s="168"/>
      <c r="B567" s="168"/>
      <c r="C567" s="168"/>
    </row>
    <row r="568" spans="1:3" ht="18.75" customHeight="1">
      <c r="A568" s="168"/>
      <c r="B568" s="168"/>
      <c r="C568" s="168"/>
    </row>
    <row r="569" spans="1:3" ht="18.75" customHeight="1">
      <c r="A569" s="168"/>
      <c r="B569" s="168"/>
      <c r="C569" s="168"/>
    </row>
    <row r="570" spans="1:3" ht="18.75" customHeight="1">
      <c r="A570" s="168"/>
      <c r="B570" s="168"/>
      <c r="C570" s="168"/>
    </row>
    <row r="571" spans="1:3" ht="18.75" customHeight="1">
      <c r="A571" s="168"/>
      <c r="B571" s="168"/>
      <c r="C571" s="168"/>
    </row>
    <row r="572" spans="1:3" ht="18.75" customHeight="1">
      <c r="A572" s="168"/>
      <c r="B572" s="168"/>
      <c r="C572" s="168"/>
    </row>
    <row r="573" spans="1:3" ht="18.75" customHeight="1">
      <c r="A573" s="168"/>
      <c r="B573" s="168"/>
      <c r="C573" s="168"/>
    </row>
    <row r="574" spans="1:3" ht="18.75" customHeight="1">
      <c r="A574" s="168"/>
      <c r="B574" s="168"/>
      <c r="C574" s="168"/>
    </row>
    <row r="575" spans="1:3" ht="18.75" customHeight="1">
      <c r="A575" s="168"/>
      <c r="B575" s="168"/>
      <c r="C575" s="168"/>
    </row>
    <row r="576" spans="1:3" ht="18.75" customHeight="1">
      <c r="A576" s="168"/>
      <c r="B576" s="168"/>
      <c r="C576" s="168"/>
    </row>
    <row r="577" spans="1:3" ht="18.75" customHeight="1">
      <c r="A577" s="168"/>
      <c r="B577" s="168"/>
      <c r="C577" s="168"/>
    </row>
    <row r="578" spans="1:3" ht="18.75" customHeight="1">
      <c r="A578" s="168"/>
      <c r="B578" s="168"/>
      <c r="C578" s="168"/>
    </row>
    <row r="579" spans="1:3" ht="18.75" customHeight="1">
      <c r="A579" s="168"/>
      <c r="B579" s="168"/>
      <c r="C579" s="168"/>
    </row>
    <row r="580" spans="1:3" ht="18.75" customHeight="1">
      <c r="A580" s="168"/>
      <c r="B580" s="168"/>
      <c r="C580" s="168"/>
    </row>
    <row r="581" spans="1:3" ht="18.75" customHeight="1">
      <c r="A581" s="168"/>
      <c r="B581" s="168"/>
      <c r="C581" s="168"/>
    </row>
    <row r="582" spans="1:3" ht="18.75" customHeight="1">
      <c r="A582" s="168"/>
      <c r="B582" s="168"/>
      <c r="C582" s="168"/>
    </row>
    <row r="583" spans="1:3" ht="18.75" customHeight="1">
      <c r="A583" s="168"/>
      <c r="B583" s="168"/>
      <c r="C583" s="168"/>
    </row>
    <row r="584" spans="1:3" ht="18.75" customHeight="1">
      <c r="A584" s="168"/>
      <c r="B584" s="168"/>
      <c r="C584" s="168"/>
    </row>
    <row r="585" spans="1:3" ht="18.75" customHeight="1">
      <c r="A585" s="168"/>
      <c r="B585" s="168"/>
      <c r="C585" s="168"/>
    </row>
    <row r="586" spans="1:3" ht="18.75" customHeight="1">
      <c r="A586" s="168"/>
      <c r="B586" s="168"/>
      <c r="C586" s="168"/>
    </row>
    <row r="587" spans="1:3" ht="18.75" customHeight="1">
      <c r="A587" s="168"/>
      <c r="B587" s="168"/>
      <c r="C587" s="168"/>
    </row>
    <row r="588" spans="1:3" ht="18.75" customHeight="1">
      <c r="A588" s="168"/>
      <c r="B588" s="168"/>
      <c r="C588" s="168"/>
    </row>
    <row r="589" spans="1:3" ht="18.75" customHeight="1">
      <c r="A589" s="168"/>
      <c r="B589" s="168"/>
      <c r="C589" s="168"/>
    </row>
    <row r="590" spans="1:3" ht="18.75" customHeight="1">
      <c r="A590" s="168"/>
      <c r="B590" s="168"/>
      <c r="C590" s="168"/>
    </row>
    <row r="591" spans="1:3" ht="18.75" customHeight="1">
      <c r="A591" s="168"/>
      <c r="B591" s="168"/>
      <c r="C591" s="168"/>
    </row>
    <row r="592" spans="1:3" ht="18.75" customHeight="1">
      <c r="A592" s="168"/>
      <c r="B592" s="168"/>
      <c r="C592" s="168"/>
    </row>
    <row r="593" spans="1:3" ht="18.75" customHeight="1">
      <c r="A593" s="168"/>
      <c r="B593" s="168"/>
      <c r="C593" s="168"/>
    </row>
    <row r="594" spans="1:3" ht="18.75" customHeight="1">
      <c r="A594" s="168"/>
      <c r="B594" s="168"/>
      <c r="C594" s="168"/>
    </row>
    <row r="595" spans="1:3" ht="18.75" customHeight="1">
      <c r="A595" s="168"/>
      <c r="B595" s="168"/>
      <c r="C595" s="168"/>
    </row>
    <row r="596" spans="1:3" ht="18.75" customHeight="1">
      <c r="A596" s="168"/>
      <c r="B596" s="168"/>
      <c r="C596" s="168"/>
    </row>
    <row r="597" spans="1:3" ht="18.75" customHeight="1">
      <c r="A597" s="168"/>
      <c r="B597" s="168"/>
      <c r="C597" s="168"/>
    </row>
    <row r="598" spans="1:3" ht="18.75" customHeight="1">
      <c r="A598" s="168"/>
      <c r="B598" s="168"/>
      <c r="C598" s="168"/>
    </row>
    <row r="599" spans="1:3" ht="18.75" customHeight="1">
      <c r="A599" s="168"/>
      <c r="B599" s="168"/>
      <c r="C599" s="168"/>
    </row>
    <row r="600" spans="1:3" ht="18.75" customHeight="1">
      <c r="A600" s="168"/>
      <c r="B600" s="168"/>
      <c r="C600" s="168"/>
    </row>
    <row r="601" spans="1:3" ht="18.75" customHeight="1">
      <c r="A601" s="168"/>
      <c r="B601" s="168"/>
      <c r="C601" s="168"/>
    </row>
    <row r="602" spans="1:3" ht="18.75" customHeight="1">
      <c r="A602" s="168"/>
      <c r="B602" s="168"/>
      <c r="C602" s="168"/>
    </row>
    <row r="603" spans="1:3" ht="18.75" customHeight="1">
      <c r="A603" s="168"/>
      <c r="B603" s="168"/>
      <c r="C603" s="168"/>
    </row>
    <row r="604" spans="1:3" ht="18.75" customHeight="1">
      <c r="A604" s="168"/>
      <c r="B604" s="168"/>
      <c r="C604" s="168"/>
    </row>
    <row r="605" spans="1:3" ht="18.75" customHeight="1">
      <c r="A605" s="168"/>
      <c r="B605" s="168"/>
      <c r="C605" s="168"/>
    </row>
    <row r="606" spans="1:3" ht="18.75" customHeight="1">
      <c r="A606" s="168"/>
      <c r="B606" s="168"/>
      <c r="C606" s="168"/>
    </row>
    <row r="607" spans="1:3" ht="18.75" customHeight="1">
      <c r="A607" s="168"/>
      <c r="B607" s="168"/>
      <c r="C607" s="168"/>
    </row>
    <row r="608" spans="1:3" ht="18.75" customHeight="1">
      <c r="A608" s="168"/>
      <c r="B608" s="168"/>
      <c r="C608" s="168"/>
    </row>
    <row r="609" spans="1:3" ht="18.75" customHeight="1">
      <c r="A609" s="168"/>
      <c r="B609" s="168"/>
      <c r="C609" s="168"/>
    </row>
    <row r="610" spans="1:3" ht="18.75" customHeight="1">
      <c r="A610" s="168"/>
      <c r="B610" s="168"/>
      <c r="C610" s="168"/>
    </row>
    <row r="611" spans="1:3" ht="18.75" customHeight="1">
      <c r="A611" s="168"/>
      <c r="B611" s="168"/>
      <c r="C611" s="168"/>
    </row>
    <row r="612" spans="1:3" ht="18.75" customHeight="1">
      <c r="A612" s="168"/>
      <c r="B612" s="168"/>
      <c r="C612" s="168"/>
    </row>
    <row r="613" spans="1:3" ht="18.75" customHeight="1">
      <c r="A613" s="168"/>
      <c r="B613" s="168"/>
      <c r="C613" s="168"/>
    </row>
    <row r="614" spans="1:3" ht="18.75" customHeight="1">
      <c r="A614" s="168"/>
      <c r="B614" s="168"/>
      <c r="C614" s="168"/>
    </row>
    <row r="615" spans="1:3" ht="18.75" customHeight="1">
      <c r="A615" s="168"/>
      <c r="B615" s="168"/>
      <c r="C615" s="168"/>
    </row>
    <row r="616" spans="1:3" ht="18.75" customHeight="1">
      <c r="A616" s="168"/>
      <c r="B616" s="168"/>
      <c r="C616" s="168"/>
    </row>
    <row r="617" spans="1:3" ht="18.75" customHeight="1">
      <c r="A617" s="168"/>
      <c r="B617" s="168"/>
      <c r="C617" s="168"/>
    </row>
    <row r="618" spans="1:3" ht="18.75" customHeight="1">
      <c r="A618" s="168"/>
      <c r="B618" s="168"/>
      <c r="C618" s="168"/>
    </row>
    <row r="619" spans="1:3" ht="18.75" customHeight="1">
      <c r="A619" s="168"/>
      <c r="B619" s="168"/>
      <c r="C619" s="168"/>
    </row>
    <row r="620" spans="1:3" ht="18.75" customHeight="1">
      <c r="A620" s="168"/>
      <c r="B620" s="168"/>
      <c r="C620" s="168"/>
    </row>
    <row r="621" spans="1:3" ht="18.75" customHeight="1">
      <c r="A621" s="168"/>
      <c r="B621" s="168"/>
      <c r="C621" s="168"/>
    </row>
    <row r="622" spans="1:3" ht="18.75" customHeight="1">
      <c r="A622" s="168"/>
      <c r="B622" s="168"/>
      <c r="C622" s="168"/>
    </row>
    <row r="623" spans="1:3" ht="18.75" customHeight="1">
      <c r="A623" s="168"/>
      <c r="B623" s="168"/>
      <c r="C623" s="168"/>
    </row>
    <row r="624" spans="1:3" ht="18.75" customHeight="1">
      <c r="A624" s="168"/>
      <c r="B624" s="168"/>
      <c r="C624" s="168"/>
    </row>
    <row r="625" spans="1:3" ht="18.75" customHeight="1">
      <c r="A625" s="168"/>
      <c r="B625" s="168"/>
      <c r="C625" s="168"/>
    </row>
    <row r="626" spans="1:3" ht="18.75" customHeight="1">
      <c r="A626" s="168"/>
      <c r="B626" s="168"/>
      <c r="C626" s="168"/>
    </row>
    <row r="627" spans="1:3" ht="18.75" customHeight="1">
      <c r="A627" s="168"/>
      <c r="B627" s="168"/>
      <c r="C627" s="168"/>
    </row>
    <row r="628" spans="1:3" ht="18.75" customHeight="1">
      <c r="A628" s="168"/>
      <c r="B628" s="168"/>
      <c r="C628" s="168"/>
    </row>
    <row r="629" spans="1:3" ht="18.75" customHeight="1">
      <c r="A629" s="168"/>
      <c r="B629" s="168"/>
      <c r="C629" s="168"/>
    </row>
    <row r="630" spans="1:3" ht="18.75" customHeight="1">
      <c r="A630" s="168"/>
      <c r="B630" s="168"/>
      <c r="C630" s="168"/>
    </row>
    <row r="631" spans="1:3" ht="18.75" customHeight="1">
      <c r="A631" s="168"/>
      <c r="B631" s="168"/>
      <c r="C631" s="168"/>
    </row>
    <row r="632" spans="1:3" ht="18.75" customHeight="1">
      <c r="A632" s="168"/>
      <c r="B632" s="168"/>
      <c r="C632" s="168"/>
    </row>
    <row r="633" spans="1:3" ht="18.75" customHeight="1">
      <c r="A633" s="168"/>
      <c r="B633" s="168"/>
      <c r="C633" s="168"/>
    </row>
    <row r="634" spans="1:3" ht="18.75" customHeight="1">
      <c r="A634" s="168"/>
      <c r="B634" s="168"/>
      <c r="C634" s="168"/>
    </row>
    <row r="635" spans="1:3" ht="18.75" customHeight="1">
      <c r="A635" s="168"/>
      <c r="B635" s="168"/>
      <c r="C635" s="168"/>
    </row>
    <row r="636" spans="1:3" ht="18.75" customHeight="1">
      <c r="A636" s="168"/>
      <c r="B636" s="168"/>
      <c r="C636" s="168"/>
    </row>
    <row r="637" spans="1:3" ht="18.75" customHeight="1">
      <c r="A637" s="168"/>
      <c r="B637" s="168"/>
      <c r="C637" s="168"/>
    </row>
    <row r="638" spans="1:3" ht="18.75" customHeight="1">
      <c r="A638" s="168"/>
      <c r="B638" s="168"/>
      <c r="C638" s="168"/>
    </row>
    <row r="639" spans="1:3" ht="18.75" customHeight="1">
      <c r="A639" s="168"/>
      <c r="B639" s="168"/>
      <c r="C639" s="168"/>
    </row>
    <row r="640" spans="1:3" ht="18.75" customHeight="1">
      <c r="A640" s="168"/>
      <c r="B640" s="168"/>
      <c r="C640" s="168"/>
    </row>
    <row r="641" spans="1:3" ht="18.75" customHeight="1">
      <c r="A641" s="168"/>
      <c r="B641" s="168"/>
      <c r="C641" s="168"/>
    </row>
    <row r="642" spans="1:3" ht="18.75" customHeight="1">
      <c r="A642" s="168"/>
      <c r="B642" s="168"/>
      <c r="C642" s="168"/>
    </row>
    <row r="643" spans="1:3" ht="18.75" customHeight="1">
      <c r="A643" s="168"/>
      <c r="B643" s="168"/>
      <c r="C643" s="168"/>
    </row>
    <row r="644" spans="1:3" ht="18.75" customHeight="1">
      <c r="A644" s="168"/>
      <c r="B644" s="168"/>
      <c r="C644" s="168"/>
    </row>
    <row r="645" spans="1:3" ht="18.75" customHeight="1">
      <c r="A645" s="168"/>
      <c r="B645" s="168"/>
      <c r="C645" s="168"/>
    </row>
    <row r="646" spans="1:3" ht="18.75" customHeight="1">
      <c r="A646" s="168"/>
      <c r="B646" s="168"/>
      <c r="C646" s="168"/>
    </row>
    <row r="647" spans="1:3" ht="18.75" customHeight="1">
      <c r="A647" s="168"/>
      <c r="B647" s="168"/>
      <c r="C647" s="168"/>
    </row>
    <row r="648" spans="1:3" ht="18.75" customHeight="1">
      <c r="A648" s="168"/>
      <c r="B648" s="168"/>
      <c r="C648" s="168"/>
    </row>
    <row r="649" spans="1:3" ht="18.75" customHeight="1">
      <c r="A649" s="168"/>
      <c r="B649" s="168"/>
      <c r="C649" s="168"/>
    </row>
    <row r="650" spans="1:3" ht="18.75" customHeight="1">
      <c r="A650" s="168"/>
      <c r="B650" s="168"/>
      <c r="C650" s="168"/>
    </row>
    <row r="651" spans="1:3" ht="18.75" customHeight="1">
      <c r="A651" s="168"/>
      <c r="B651" s="168"/>
      <c r="C651" s="168"/>
    </row>
    <row r="652" spans="1:3" ht="18.75" customHeight="1">
      <c r="A652" s="168"/>
      <c r="B652" s="168"/>
      <c r="C652" s="168"/>
    </row>
    <row r="653" spans="1:3" ht="18.75" customHeight="1">
      <c r="A653" s="168"/>
      <c r="B653" s="168"/>
      <c r="C653" s="168"/>
    </row>
    <row r="654" spans="1:3" ht="18.75" customHeight="1">
      <c r="A654" s="168"/>
      <c r="B654" s="168"/>
      <c r="C654" s="168"/>
    </row>
    <row r="655" spans="1:3" ht="18.75" customHeight="1">
      <c r="A655" s="168"/>
      <c r="B655" s="168"/>
      <c r="C655" s="168"/>
    </row>
    <row r="656" spans="1:3" ht="18.75" customHeight="1">
      <c r="A656" s="168"/>
      <c r="B656" s="168"/>
      <c r="C656" s="168"/>
    </row>
    <row r="657" spans="1:3" ht="18.75" customHeight="1">
      <c r="A657" s="168"/>
      <c r="B657" s="168"/>
      <c r="C657" s="168"/>
    </row>
    <row r="658" spans="1:3" ht="18.75" customHeight="1">
      <c r="A658" s="168"/>
      <c r="B658" s="168"/>
      <c r="C658" s="168"/>
    </row>
    <row r="659" spans="1:3" ht="18.75" customHeight="1">
      <c r="A659" s="168"/>
      <c r="B659" s="168"/>
      <c r="C659" s="168"/>
    </row>
    <row r="660" spans="1:3" ht="18.75" customHeight="1">
      <c r="A660" s="168"/>
      <c r="B660" s="168"/>
      <c r="C660" s="168"/>
    </row>
    <row r="661" spans="1:3" ht="18.75" customHeight="1">
      <c r="A661" s="168"/>
      <c r="B661" s="168"/>
      <c r="C661" s="168"/>
    </row>
    <row r="662" spans="1:3" ht="18.75" customHeight="1">
      <c r="A662" s="168"/>
      <c r="B662" s="168"/>
      <c r="C662" s="168"/>
    </row>
    <row r="663" spans="1:3" ht="18.75" customHeight="1">
      <c r="A663" s="168"/>
      <c r="B663" s="168"/>
      <c r="C663" s="168"/>
    </row>
    <row r="664" spans="1:3" ht="18.75" customHeight="1">
      <c r="A664" s="168"/>
      <c r="B664" s="168"/>
      <c r="C664" s="168"/>
    </row>
    <row r="665" spans="1:3" ht="18.75" customHeight="1">
      <c r="A665" s="168"/>
      <c r="B665" s="168"/>
      <c r="C665" s="168"/>
    </row>
    <row r="666" spans="1:3" ht="18.75" customHeight="1">
      <c r="A666" s="168"/>
      <c r="B666" s="168"/>
      <c r="C666" s="168"/>
    </row>
    <row r="667" spans="1:3" ht="18.75" customHeight="1">
      <c r="A667" s="168"/>
      <c r="B667" s="168"/>
      <c r="C667" s="168"/>
    </row>
    <row r="668" spans="1:3" ht="18.75" customHeight="1">
      <c r="A668" s="168"/>
      <c r="B668" s="168"/>
      <c r="C668" s="168"/>
    </row>
    <row r="669" spans="1:3" ht="18.75" customHeight="1">
      <c r="A669" s="168"/>
      <c r="B669" s="168"/>
      <c r="C669" s="168"/>
    </row>
    <row r="670" spans="1:3" ht="18.75" customHeight="1">
      <c r="A670" s="168"/>
      <c r="B670" s="168"/>
      <c r="C670" s="168"/>
    </row>
    <row r="671" spans="1:3" ht="18.75" customHeight="1">
      <c r="A671" s="168"/>
      <c r="B671" s="168"/>
      <c r="C671" s="168"/>
    </row>
    <row r="672" spans="1:3" ht="18.75" customHeight="1">
      <c r="A672" s="168"/>
      <c r="B672" s="168"/>
      <c r="C672" s="168"/>
    </row>
    <row r="673" spans="1:3" ht="18.75" customHeight="1">
      <c r="A673" s="168"/>
      <c r="B673" s="168"/>
      <c r="C673" s="168"/>
    </row>
    <row r="674" spans="1:3" ht="18.75" customHeight="1">
      <c r="A674" s="168"/>
      <c r="B674" s="168"/>
      <c r="C674" s="168"/>
    </row>
    <row r="675" spans="1:3" ht="18.75" customHeight="1">
      <c r="A675" s="168"/>
      <c r="B675" s="168"/>
      <c r="C675" s="168"/>
    </row>
    <row r="676" spans="1:3" ht="18.75" customHeight="1">
      <c r="A676" s="168"/>
      <c r="B676" s="168"/>
      <c r="C676" s="168"/>
    </row>
    <row r="677" spans="1:3" ht="18.75" customHeight="1">
      <c r="A677" s="168"/>
      <c r="B677" s="168"/>
      <c r="C677" s="168"/>
    </row>
    <row r="678" spans="1:3" ht="18.75" customHeight="1">
      <c r="A678" s="168"/>
      <c r="B678" s="168"/>
      <c r="C678" s="168"/>
    </row>
    <row r="679" spans="1:3" ht="18.75" customHeight="1">
      <c r="A679" s="168"/>
      <c r="B679" s="168"/>
      <c r="C679" s="168"/>
    </row>
    <row r="680" spans="1:3" ht="18.75" customHeight="1">
      <c r="A680" s="168"/>
      <c r="B680" s="168"/>
      <c r="C680" s="168"/>
    </row>
    <row r="681" spans="1:3" ht="18.75" customHeight="1">
      <c r="A681" s="168"/>
      <c r="B681" s="168"/>
      <c r="C681" s="168"/>
    </row>
    <row r="682" spans="1:3" ht="18.75" customHeight="1">
      <c r="A682" s="168"/>
      <c r="B682" s="168"/>
      <c r="C682" s="168"/>
    </row>
    <row r="683" spans="1:3" ht="18.75" customHeight="1">
      <c r="A683" s="168"/>
      <c r="B683" s="168"/>
      <c r="C683" s="168"/>
    </row>
    <row r="684" spans="1:3" ht="18.75" customHeight="1">
      <c r="A684" s="168"/>
      <c r="B684" s="168"/>
      <c r="C684" s="168"/>
    </row>
    <row r="685" spans="1:3" ht="18.75" customHeight="1">
      <c r="A685" s="168"/>
      <c r="B685" s="168"/>
      <c r="C685" s="168"/>
    </row>
    <row r="686" spans="1:3" ht="18.75" customHeight="1">
      <c r="A686" s="168"/>
      <c r="B686" s="168"/>
      <c r="C686" s="168"/>
    </row>
    <row r="687" spans="1:3" ht="18.75" customHeight="1">
      <c r="A687" s="168"/>
      <c r="B687" s="168"/>
      <c r="C687" s="168"/>
    </row>
    <row r="688" spans="1:3" ht="18.75" customHeight="1">
      <c r="A688" s="168"/>
      <c r="B688" s="168"/>
      <c r="C688" s="168"/>
    </row>
    <row r="689" spans="1:3" ht="18.75" customHeight="1">
      <c r="A689" s="168"/>
      <c r="B689" s="168"/>
      <c r="C689" s="168"/>
    </row>
    <row r="690" spans="1:3" ht="18.75" customHeight="1">
      <c r="A690" s="168"/>
      <c r="B690" s="168"/>
      <c r="C690" s="168"/>
    </row>
    <row r="691" spans="1:3" ht="18.75" customHeight="1">
      <c r="A691" s="168"/>
      <c r="B691" s="168"/>
      <c r="C691" s="168"/>
    </row>
    <row r="692" spans="1:3" ht="18.75" customHeight="1">
      <c r="A692" s="168"/>
      <c r="B692" s="168"/>
      <c r="C692" s="168"/>
    </row>
    <row r="693" spans="1:3" ht="18.75" customHeight="1">
      <c r="A693" s="168"/>
      <c r="B693" s="168"/>
      <c r="C693" s="168"/>
    </row>
    <row r="694" spans="1:3" ht="18.75" customHeight="1">
      <c r="A694" s="168"/>
      <c r="B694" s="168"/>
      <c r="C694" s="168"/>
    </row>
    <row r="695" spans="1:3" ht="18.75" customHeight="1">
      <c r="A695" s="168"/>
      <c r="B695" s="168"/>
      <c r="C695" s="168"/>
    </row>
    <row r="696" spans="1:3" ht="18.75" customHeight="1">
      <c r="A696" s="168"/>
      <c r="B696" s="168"/>
      <c r="C696" s="168"/>
    </row>
    <row r="697" spans="1:3" ht="18.75" customHeight="1">
      <c r="A697" s="168"/>
      <c r="B697" s="168"/>
      <c r="C697" s="168"/>
    </row>
    <row r="698" spans="1:3" ht="18.75" customHeight="1">
      <c r="A698" s="168"/>
      <c r="B698" s="168"/>
      <c r="C698" s="168"/>
    </row>
    <row r="699" spans="1:3" ht="18.75" customHeight="1">
      <c r="A699" s="168"/>
      <c r="B699" s="168"/>
      <c r="C699" s="168"/>
    </row>
    <row r="700" spans="1:3" ht="18.75" customHeight="1">
      <c r="A700" s="168"/>
      <c r="B700" s="168"/>
      <c r="C700" s="168"/>
    </row>
    <row r="701" spans="1:3" ht="18.75" customHeight="1">
      <c r="A701" s="168"/>
      <c r="B701" s="168"/>
      <c r="C701" s="168"/>
    </row>
    <row r="702" spans="1:3" ht="18.75" customHeight="1">
      <c r="A702" s="168"/>
      <c r="B702" s="168"/>
      <c r="C702" s="168"/>
    </row>
    <row r="703" spans="1:3" ht="18.75" customHeight="1">
      <c r="A703" s="168"/>
      <c r="B703" s="168"/>
      <c r="C703" s="168"/>
    </row>
    <row r="704" spans="1:3" ht="18.75" customHeight="1">
      <c r="A704" s="168"/>
      <c r="B704" s="168"/>
      <c r="C704" s="168"/>
    </row>
    <row r="705" spans="1:3" ht="18.75" customHeight="1">
      <c r="A705" s="168"/>
      <c r="B705" s="168"/>
      <c r="C705" s="168"/>
    </row>
    <row r="706" spans="1:3" ht="18.75" customHeight="1">
      <c r="A706" s="168"/>
      <c r="B706" s="168"/>
      <c r="C706" s="168"/>
    </row>
    <row r="707" spans="1:3" ht="18.75" customHeight="1">
      <c r="A707" s="168"/>
      <c r="B707" s="168"/>
      <c r="C707" s="168"/>
    </row>
    <row r="708" spans="1:3" ht="18.75" customHeight="1">
      <c r="A708" s="168"/>
      <c r="B708" s="168"/>
      <c r="C708" s="168"/>
    </row>
    <row r="709" spans="1:3" ht="18.75" customHeight="1">
      <c r="A709" s="168"/>
      <c r="B709" s="168"/>
      <c r="C709" s="168"/>
    </row>
    <row r="710" spans="1:3" ht="18.75" customHeight="1">
      <c r="A710" s="168"/>
      <c r="B710" s="168"/>
      <c r="C710" s="168"/>
    </row>
    <row r="711" spans="1:3" ht="18.75" customHeight="1">
      <c r="A711" s="168"/>
      <c r="B711" s="168"/>
      <c r="C711" s="168"/>
    </row>
    <row r="712" spans="1:3" ht="18.75" customHeight="1">
      <c r="A712" s="168"/>
      <c r="B712" s="168"/>
      <c r="C712" s="168"/>
    </row>
    <row r="713" spans="1:3" ht="18.75" customHeight="1">
      <c r="A713" s="168"/>
      <c r="B713" s="168"/>
      <c r="C713" s="168"/>
    </row>
    <row r="714" spans="1:3" ht="18.75" customHeight="1">
      <c r="A714" s="168"/>
      <c r="B714" s="168"/>
      <c r="C714" s="168"/>
    </row>
    <row r="715" spans="1:3" ht="18.75" customHeight="1">
      <c r="A715" s="168"/>
      <c r="B715" s="168"/>
      <c r="C715" s="168"/>
    </row>
    <row r="716" spans="1:3" ht="18.75" customHeight="1">
      <c r="A716" s="168"/>
      <c r="B716" s="168"/>
      <c r="C716" s="168"/>
    </row>
    <row r="717" spans="1:3" ht="18.75" customHeight="1">
      <c r="A717" s="168"/>
      <c r="B717" s="168"/>
      <c r="C717" s="168"/>
    </row>
    <row r="718" spans="1:3" ht="18.75" customHeight="1">
      <c r="A718" s="168"/>
      <c r="B718" s="168"/>
      <c r="C718" s="168"/>
    </row>
    <row r="719" spans="1:3" ht="18.75" customHeight="1">
      <c r="A719" s="168"/>
      <c r="B719" s="168"/>
      <c r="C719" s="168"/>
    </row>
    <row r="720" spans="1:3" ht="18.75" customHeight="1">
      <c r="A720" s="168"/>
      <c r="B720" s="168"/>
      <c r="C720" s="168"/>
    </row>
    <row r="721" spans="1:3 4708:4708" ht="18.75" customHeight="1">
      <c r="A721" s="168"/>
      <c r="B721" s="168"/>
      <c r="C721" s="168"/>
    </row>
    <row r="722" spans="1:3 4708:4708" ht="18.75" customHeight="1">
      <c r="A722" s="168"/>
      <c r="B722" s="168"/>
      <c r="C722" s="168"/>
    </row>
    <row r="723" spans="1:3 4708:4708" ht="18.75" customHeight="1">
      <c r="A723" s="168"/>
      <c r="B723" s="168"/>
      <c r="C723" s="168"/>
      <c r="FYB723" s="3" t="s">
        <v>219</v>
      </c>
    </row>
    <row r="724" spans="1:3 4708:4708" ht="18.75" customHeight="1">
      <c r="A724" s="168"/>
      <c r="B724" s="168"/>
      <c r="C724" s="168"/>
    </row>
    <row r="725" spans="1:3 4708:4708" ht="18.75" customHeight="1">
      <c r="A725" s="168"/>
      <c r="B725" s="168"/>
      <c r="C725" s="168"/>
    </row>
    <row r="726" spans="1:3 4708:4708" ht="18.75" customHeight="1">
      <c r="A726" s="168"/>
      <c r="B726" s="168"/>
      <c r="C726" s="168"/>
    </row>
    <row r="727" spans="1:3 4708:4708" ht="18.75" customHeight="1">
      <c r="A727" s="168"/>
      <c r="B727" s="168"/>
      <c r="C727" s="168"/>
    </row>
    <row r="728" spans="1:3 4708:4708" ht="18.75" customHeight="1">
      <c r="A728" s="168"/>
      <c r="B728" s="168"/>
      <c r="C728" s="168"/>
    </row>
    <row r="729" spans="1:3 4708:4708" ht="18.75" customHeight="1">
      <c r="A729" s="168"/>
      <c r="B729" s="168"/>
      <c r="C729" s="168"/>
    </row>
    <row r="730" spans="1:3 4708:4708" ht="18.75" customHeight="1">
      <c r="A730" s="168"/>
      <c r="B730" s="168"/>
      <c r="C730" s="168"/>
    </row>
    <row r="731" spans="1:3 4708:4708" ht="18.75" customHeight="1">
      <c r="A731" s="168"/>
      <c r="B731" s="168"/>
      <c r="C731" s="168"/>
    </row>
    <row r="732" spans="1:3 4708:4708" ht="18.75" customHeight="1">
      <c r="A732" s="168"/>
      <c r="B732" s="168"/>
      <c r="C732" s="168"/>
    </row>
    <row r="733" spans="1:3 4708:4708" ht="18.75" customHeight="1">
      <c r="A733" s="168"/>
      <c r="B733" s="168"/>
      <c r="C733" s="168"/>
    </row>
    <row r="734" spans="1:3 4708:4708" ht="18.75" customHeight="1">
      <c r="A734" s="168"/>
      <c r="B734" s="168"/>
      <c r="C734" s="168"/>
    </row>
    <row r="735" spans="1:3 4708:4708" ht="18.75" customHeight="1">
      <c r="A735" s="168"/>
      <c r="B735" s="168"/>
      <c r="C735" s="168"/>
    </row>
    <row r="736" spans="1:3 4708:4708" ht="18.75" customHeight="1">
      <c r="A736" s="168"/>
      <c r="B736" s="168"/>
      <c r="C736" s="168"/>
    </row>
    <row r="737" spans="1:3" ht="18.75" customHeight="1">
      <c r="A737" s="168"/>
      <c r="B737" s="168"/>
      <c r="C737" s="168"/>
    </row>
    <row r="738" spans="1:3" ht="18.75" customHeight="1">
      <c r="A738" s="168"/>
      <c r="B738" s="168"/>
      <c r="C738" s="168"/>
    </row>
    <row r="739" spans="1:3" ht="18.75" customHeight="1">
      <c r="A739" s="168"/>
      <c r="B739" s="168"/>
      <c r="C739" s="168"/>
    </row>
    <row r="740" spans="1:3" ht="18.75" customHeight="1">
      <c r="A740" s="168"/>
      <c r="B740" s="168"/>
      <c r="C740" s="168"/>
    </row>
    <row r="741" spans="1:3" ht="18.75" customHeight="1">
      <c r="A741" s="168"/>
      <c r="B741" s="168"/>
      <c r="C741" s="168"/>
    </row>
    <row r="742" spans="1:3" ht="18.75" customHeight="1">
      <c r="A742" s="168"/>
      <c r="B742" s="168"/>
      <c r="C742" s="168"/>
    </row>
    <row r="743" spans="1:3" ht="18.75" customHeight="1">
      <c r="A743" s="168"/>
      <c r="B743" s="168"/>
      <c r="C743" s="168"/>
    </row>
    <row r="744" spans="1:3" ht="18.75" customHeight="1">
      <c r="A744" s="168"/>
      <c r="B744" s="168"/>
      <c r="C744" s="168"/>
    </row>
    <row r="745" spans="1:3" ht="18.75" customHeight="1">
      <c r="A745" s="168"/>
      <c r="B745" s="168"/>
      <c r="C745" s="168"/>
    </row>
    <row r="746" spans="1:3" ht="18.75" customHeight="1">
      <c r="A746" s="168"/>
      <c r="B746" s="168"/>
      <c r="C746" s="168"/>
    </row>
    <row r="747" spans="1:3" ht="18.75" customHeight="1">
      <c r="A747" s="168"/>
      <c r="B747" s="168"/>
      <c r="C747" s="168"/>
    </row>
    <row r="748" spans="1:3" ht="18.75" customHeight="1">
      <c r="A748" s="168"/>
      <c r="B748" s="168"/>
      <c r="C748" s="168"/>
    </row>
    <row r="749" spans="1:3" ht="18.75" customHeight="1">
      <c r="A749" s="168"/>
      <c r="B749" s="168"/>
      <c r="C749" s="168"/>
    </row>
    <row r="750" spans="1:3" ht="18.75" customHeight="1">
      <c r="A750" s="168"/>
      <c r="B750" s="168"/>
      <c r="C750" s="168"/>
    </row>
    <row r="751" spans="1:3" ht="18.75" customHeight="1">
      <c r="A751" s="168"/>
      <c r="B751" s="168"/>
      <c r="C751" s="168"/>
    </row>
    <row r="752" spans="1:3" ht="18.75" customHeight="1">
      <c r="A752" s="168"/>
      <c r="B752" s="168"/>
      <c r="C752" s="168"/>
    </row>
    <row r="753" spans="1:3" ht="18.75" customHeight="1">
      <c r="A753" s="168"/>
      <c r="B753" s="168"/>
      <c r="C753" s="168"/>
    </row>
    <row r="754" spans="1:3" ht="18.75" customHeight="1">
      <c r="A754" s="168"/>
      <c r="B754" s="168"/>
      <c r="C754" s="168"/>
    </row>
    <row r="755" spans="1:3" ht="18.75" customHeight="1">
      <c r="A755" s="168"/>
      <c r="B755" s="168"/>
      <c r="C755" s="168"/>
    </row>
    <row r="756" spans="1:3" ht="18.75" customHeight="1">
      <c r="A756" s="168"/>
      <c r="B756" s="168"/>
      <c r="C756" s="168"/>
    </row>
    <row r="757" spans="1:3" ht="18.75" customHeight="1">
      <c r="A757" s="168"/>
      <c r="B757" s="168"/>
      <c r="C757" s="168"/>
    </row>
    <row r="758" spans="1:3" ht="18.75" customHeight="1">
      <c r="A758" s="168"/>
      <c r="B758" s="168"/>
      <c r="C758" s="168"/>
    </row>
    <row r="759" spans="1:3" ht="18.75" customHeight="1">
      <c r="A759" s="168"/>
      <c r="B759" s="168"/>
      <c r="C759" s="168"/>
    </row>
    <row r="760" spans="1:3" ht="18.75" customHeight="1">
      <c r="A760" s="168"/>
      <c r="B760" s="168"/>
      <c r="C760" s="168"/>
    </row>
    <row r="761" spans="1:3" ht="18.75" customHeight="1">
      <c r="A761" s="168"/>
      <c r="B761" s="168"/>
      <c r="C761" s="168"/>
    </row>
    <row r="762" spans="1:3" ht="18.75" customHeight="1">
      <c r="A762" s="168"/>
      <c r="B762" s="168"/>
      <c r="C762" s="168"/>
    </row>
    <row r="763" spans="1:3" ht="18.75" customHeight="1">
      <c r="A763" s="168"/>
      <c r="B763" s="168"/>
      <c r="C763" s="168"/>
    </row>
    <row r="764" spans="1:3" ht="18.75" customHeight="1">
      <c r="A764" s="168"/>
      <c r="B764" s="168"/>
      <c r="C764" s="168"/>
    </row>
    <row r="765" spans="1:3" ht="18.75" customHeight="1">
      <c r="A765" s="168"/>
      <c r="B765" s="168"/>
      <c r="C765" s="168"/>
    </row>
    <row r="766" spans="1:3" ht="18.75" customHeight="1">
      <c r="A766" s="168"/>
      <c r="B766" s="168"/>
      <c r="C766" s="168"/>
    </row>
    <row r="767" spans="1:3" ht="18.75" customHeight="1">
      <c r="A767" s="168"/>
      <c r="B767" s="168"/>
      <c r="C767" s="168"/>
    </row>
    <row r="768" spans="1:3" ht="18.75" customHeight="1">
      <c r="A768" s="168"/>
      <c r="B768" s="168"/>
      <c r="C768" s="168"/>
    </row>
    <row r="769" spans="1:3" ht="18.75" customHeight="1">
      <c r="A769" s="168"/>
      <c r="B769" s="168"/>
      <c r="C769" s="168"/>
    </row>
    <row r="770" spans="1:3" ht="18.75" customHeight="1">
      <c r="A770" s="168"/>
      <c r="B770" s="168"/>
      <c r="C770" s="168"/>
    </row>
    <row r="771" spans="1:3" ht="18.75" customHeight="1">
      <c r="A771" s="168"/>
      <c r="B771" s="168"/>
      <c r="C771" s="168"/>
    </row>
    <row r="772" spans="1:3" ht="18.75" customHeight="1">
      <c r="A772" s="168"/>
      <c r="B772" s="168"/>
      <c r="C772" s="168"/>
    </row>
    <row r="773" spans="1:3" ht="18.75" customHeight="1">
      <c r="A773" s="168"/>
      <c r="B773" s="168"/>
      <c r="C773" s="168"/>
    </row>
    <row r="774" spans="1:3" ht="18.75" customHeight="1">
      <c r="A774" s="168"/>
      <c r="B774" s="168"/>
      <c r="C774" s="168"/>
    </row>
    <row r="775" spans="1:3" ht="18.75" customHeight="1">
      <c r="A775" s="168"/>
      <c r="B775" s="168"/>
      <c r="C775" s="168"/>
    </row>
    <row r="776" spans="1:3" ht="18.75" customHeight="1">
      <c r="A776" s="168"/>
      <c r="B776" s="168"/>
      <c r="C776" s="168"/>
    </row>
    <row r="777" spans="1:3" ht="18.75" customHeight="1">
      <c r="A777" s="168"/>
      <c r="B777" s="168"/>
      <c r="C777" s="168"/>
    </row>
    <row r="778" spans="1:3" ht="18.75" customHeight="1">
      <c r="A778" s="168"/>
      <c r="B778" s="168"/>
      <c r="C778" s="168"/>
    </row>
    <row r="779" spans="1:3" ht="18.75" customHeight="1">
      <c r="A779" s="168"/>
      <c r="B779" s="168"/>
      <c r="C779" s="168"/>
    </row>
    <row r="780" spans="1:3" ht="18.75" customHeight="1">
      <c r="A780" s="168"/>
      <c r="B780" s="168"/>
      <c r="C780" s="168"/>
    </row>
    <row r="781" spans="1:3" ht="18.75" customHeight="1">
      <c r="A781" s="168"/>
      <c r="B781" s="168"/>
      <c r="C781" s="168"/>
    </row>
    <row r="782" spans="1:3" ht="18.75" customHeight="1">
      <c r="A782" s="168"/>
      <c r="B782" s="168"/>
      <c r="C782" s="168"/>
    </row>
    <row r="783" spans="1:3" ht="18.75" customHeight="1">
      <c r="A783" s="168"/>
      <c r="B783" s="168"/>
      <c r="C783" s="168"/>
    </row>
    <row r="784" spans="1:3" ht="18.75" customHeight="1">
      <c r="A784" s="168"/>
      <c r="B784" s="168"/>
      <c r="C784" s="168"/>
    </row>
    <row r="785" spans="1:3" ht="18.75" customHeight="1">
      <c r="A785" s="168"/>
      <c r="B785" s="168"/>
      <c r="C785" s="168"/>
    </row>
    <row r="786" spans="1:3" ht="18.75" customHeight="1">
      <c r="A786" s="168"/>
      <c r="B786" s="168"/>
      <c r="C786" s="168"/>
    </row>
    <row r="787" spans="1:3" ht="18.75" customHeight="1">
      <c r="A787" s="168"/>
      <c r="B787" s="168"/>
      <c r="C787" s="168"/>
    </row>
    <row r="788" spans="1:3" ht="18.75" customHeight="1">
      <c r="A788" s="168"/>
      <c r="B788" s="168"/>
      <c r="C788" s="168"/>
    </row>
    <row r="789" spans="1:3" ht="18.75" customHeight="1">
      <c r="A789" s="168"/>
      <c r="B789" s="168"/>
      <c r="C789" s="168"/>
    </row>
    <row r="790" spans="1:3" ht="18.75" customHeight="1">
      <c r="A790" s="168"/>
      <c r="B790" s="168"/>
      <c r="C790" s="168"/>
    </row>
    <row r="791" spans="1:3" ht="18.75" customHeight="1">
      <c r="A791" s="168"/>
      <c r="B791" s="168"/>
      <c r="C791" s="168"/>
    </row>
    <row r="792" spans="1:3" ht="18.75" customHeight="1">
      <c r="A792" s="168"/>
      <c r="B792" s="168"/>
      <c r="C792" s="168"/>
    </row>
    <row r="793" spans="1:3" ht="18.75" customHeight="1">
      <c r="A793" s="168"/>
      <c r="B793" s="168"/>
      <c r="C793" s="168"/>
    </row>
    <row r="794" spans="1:3" ht="18.75" customHeight="1">
      <c r="A794" s="168"/>
      <c r="B794" s="168"/>
      <c r="C794" s="168"/>
    </row>
    <row r="795" spans="1:3" ht="18.75" customHeight="1">
      <c r="A795" s="168"/>
      <c r="B795" s="168"/>
      <c r="C795" s="168"/>
    </row>
    <row r="796" spans="1:3" ht="18.75" customHeight="1">
      <c r="A796" s="168"/>
      <c r="B796" s="168"/>
      <c r="C796" s="168"/>
    </row>
    <row r="797" spans="1:3" ht="18.75" customHeight="1">
      <c r="A797" s="168"/>
      <c r="B797" s="168"/>
      <c r="C797" s="168"/>
    </row>
    <row r="798" spans="1:3" ht="18.75" customHeight="1">
      <c r="A798" s="168"/>
      <c r="B798" s="168"/>
      <c r="C798" s="168"/>
    </row>
    <row r="799" spans="1:3" ht="18.75" customHeight="1">
      <c r="A799" s="168"/>
      <c r="B799" s="168"/>
      <c r="C799" s="168"/>
    </row>
    <row r="800" spans="1:3" ht="18.75" customHeight="1">
      <c r="A800" s="168"/>
      <c r="B800" s="168"/>
      <c r="C800" s="168"/>
    </row>
    <row r="801" spans="1:3" ht="18.75" customHeight="1">
      <c r="A801" s="168"/>
      <c r="B801" s="168"/>
      <c r="C801" s="168"/>
    </row>
    <row r="802" spans="1:3" ht="18.75" customHeight="1">
      <c r="A802" s="168"/>
      <c r="B802" s="168"/>
      <c r="C802" s="168"/>
    </row>
    <row r="803" spans="1:3" ht="18.75" customHeight="1">
      <c r="A803" s="168"/>
      <c r="B803" s="168"/>
      <c r="C803" s="168"/>
    </row>
    <row r="804" spans="1:3" ht="18.75" customHeight="1">
      <c r="A804" s="168"/>
      <c r="B804" s="168"/>
      <c r="C804" s="168"/>
    </row>
    <row r="805" spans="1:3" ht="18.75" customHeight="1">
      <c r="A805" s="168"/>
      <c r="B805" s="168"/>
      <c r="C805" s="168"/>
    </row>
    <row r="806" spans="1:3" ht="18.75" customHeight="1">
      <c r="A806" s="168"/>
      <c r="B806" s="168"/>
      <c r="C806" s="168"/>
    </row>
    <row r="807" spans="1:3" ht="18.75" customHeight="1">
      <c r="A807" s="168"/>
      <c r="B807" s="168"/>
      <c r="C807" s="168"/>
    </row>
    <row r="808" spans="1:3" ht="18.75" customHeight="1">
      <c r="A808" s="168"/>
      <c r="B808" s="168"/>
      <c r="C808" s="168"/>
    </row>
    <row r="809" spans="1:3" ht="18.75" customHeight="1">
      <c r="A809" s="168"/>
      <c r="B809" s="168"/>
      <c r="C809" s="168"/>
    </row>
    <row r="810" spans="1:3" ht="18.75" customHeight="1">
      <c r="A810" s="168"/>
      <c r="B810" s="168"/>
      <c r="C810" s="168"/>
    </row>
    <row r="811" spans="1:3" ht="18.75" customHeight="1">
      <c r="A811" s="168"/>
      <c r="B811" s="168"/>
      <c r="C811" s="168"/>
    </row>
    <row r="812" spans="1:3" ht="18.75" customHeight="1">
      <c r="A812" s="168"/>
      <c r="B812" s="168"/>
      <c r="C812" s="168"/>
    </row>
    <row r="813" spans="1:3" ht="18.75" customHeight="1">
      <c r="A813" s="168"/>
      <c r="B813" s="168"/>
      <c r="C813" s="168"/>
    </row>
    <row r="814" spans="1:3" ht="18.75" customHeight="1">
      <c r="A814" s="168"/>
      <c r="B814" s="168"/>
      <c r="C814" s="168"/>
    </row>
    <row r="815" spans="1:3" ht="18.75" customHeight="1">
      <c r="A815" s="168"/>
      <c r="B815" s="168"/>
      <c r="C815" s="168"/>
    </row>
    <row r="816" spans="1:3" ht="18.75" customHeight="1">
      <c r="A816" s="168"/>
      <c r="B816" s="168"/>
      <c r="C816" s="168"/>
    </row>
    <row r="817" spans="1:35" ht="18.75" customHeight="1">
      <c r="A817" s="168"/>
      <c r="B817" s="168"/>
      <c r="C817" s="168"/>
    </row>
    <row r="818" spans="1:35" ht="18.75" customHeight="1">
      <c r="A818" s="168"/>
      <c r="B818" s="168"/>
      <c r="C818" s="168"/>
    </row>
    <row r="819" spans="1:35" ht="18.75" customHeight="1">
      <c r="A819" s="168"/>
      <c r="B819" s="168"/>
      <c r="C819" s="168"/>
    </row>
    <row r="820" spans="1:35" ht="18.75" customHeight="1">
      <c r="A820" s="168"/>
      <c r="B820" s="168"/>
      <c r="C820" s="168"/>
    </row>
    <row r="821" spans="1:35" ht="18.75" customHeight="1">
      <c r="A821" s="168"/>
      <c r="B821" s="168"/>
      <c r="C821" s="168"/>
    </row>
    <row r="822" spans="1:35" ht="18.75" customHeight="1">
      <c r="A822" s="168"/>
      <c r="B822" s="168"/>
      <c r="C822" s="168"/>
    </row>
    <row r="823" spans="1:35" ht="18.75" customHeight="1">
      <c r="A823" s="168"/>
      <c r="B823" s="168"/>
      <c r="C823" s="168"/>
    </row>
    <row r="824" spans="1:35" ht="18.75" customHeight="1">
      <c r="A824" s="168"/>
      <c r="B824" s="168"/>
      <c r="C824" s="168"/>
    </row>
    <row r="825" spans="1:35" ht="18.75" customHeight="1">
      <c r="A825" s="168"/>
      <c r="B825" s="168"/>
      <c r="C825" s="168"/>
    </row>
    <row r="826" spans="1:35" ht="18.75" customHeight="1">
      <c r="A826" s="168"/>
      <c r="B826" s="168"/>
      <c r="C826" s="168"/>
      <c r="AI826" s="111"/>
    </row>
    <row r="827" spans="1:35" ht="18.75" customHeight="1">
      <c r="A827" s="168"/>
      <c r="B827" s="168"/>
      <c r="C827" s="168"/>
      <c r="AI827" s="111"/>
    </row>
    <row r="828" spans="1:35" ht="18.75" customHeight="1">
      <c r="A828" s="168"/>
      <c r="B828" s="168"/>
      <c r="C828" s="168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</row>
    <row r="829" spans="1:35" ht="18.75" customHeight="1">
      <c r="A829" s="168"/>
      <c r="B829" s="168"/>
      <c r="C829" s="168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</row>
    <row r="830" spans="1:35" ht="18.75" customHeight="1">
      <c r="A830" s="168"/>
      <c r="B830" s="168"/>
      <c r="C830" s="168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</row>
    <row r="831" spans="1:35" ht="18.75" customHeight="1">
      <c r="A831" s="168"/>
      <c r="B831" s="168"/>
      <c r="C831" s="168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</row>
    <row r="832" spans="1:35" ht="18.75" customHeight="1">
      <c r="A832" s="168"/>
      <c r="B832" s="168"/>
      <c r="C832" s="168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</row>
    <row r="833" spans="1:35" ht="18.75" customHeight="1">
      <c r="A833" s="168"/>
      <c r="B833" s="168"/>
      <c r="C833" s="168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</row>
    <row r="834" spans="1:35" ht="18.75" customHeight="1">
      <c r="A834" s="168"/>
      <c r="B834" s="168"/>
      <c r="C834" s="168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</row>
    <row r="835" spans="1:35" ht="18.75" customHeight="1">
      <c r="A835" s="168"/>
      <c r="B835" s="168"/>
      <c r="C835" s="168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</row>
    <row r="836" spans="1:35" ht="18.75" customHeight="1">
      <c r="A836" s="168"/>
      <c r="B836" s="168"/>
      <c r="C836" s="168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</row>
    <row r="837" spans="1:35" ht="18.75" customHeight="1">
      <c r="A837" s="168"/>
      <c r="B837" s="168"/>
      <c r="C837" s="168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</row>
    <row r="838" spans="1:35" ht="18.75" customHeight="1">
      <c r="A838" s="168"/>
      <c r="B838" s="168"/>
      <c r="C838" s="168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</row>
    <row r="839" spans="1:35" ht="18.75" customHeight="1">
      <c r="A839" s="168"/>
      <c r="B839" s="168"/>
      <c r="C839" s="168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</row>
    <row r="840" spans="1:35" ht="18.75" customHeight="1">
      <c r="A840" s="168"/>
      <c r="B840" s="168"/>
      <c r="C840" s="168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</row>
    <row r="841" spans="1:35" ht="18.75" customHeight="1">
      <c r="A841" s="168"/>
      <c r="B841" s="168"/>
      <c r="C841" s="168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</row>
    <row r="842" spans="1:35" ht="18.75" customHeight="1">
      <c r="A842" s="168"/>
      <c r="B842" s="168"/>
      <c r="C842" s="168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</row>
    <row r="843" spans="1:35" ht="18.75" customHeight="1">
      <c r="A843" s="168"/>
      <c r="B843" s="168"/>
      <c r="C843" s="168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</row>
    <row r="844" spans="1:35" ht="18.75" customHeight="1">
      <c r="A844" s="168"/>
      <c r="B844" s="168"/>
      <c r="C844" s="168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</row>
    <row r="845" spans="1:35" ht="18.75" customHeight="1">
      <c r="A845" s="168"/>
      <c r="B845" s="168"/>
      <c r="C845" s="168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</row>
    <row r="846" spans="1:35" ht="18.75" customHeight="1">
      <c r="A846" s="168"/>
      <c r="B846" s="168"/>
      <c r="C846" s="168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</row>
    <row r="847" spans="1:35" ht="18.75" customHeight="1">
      <c r="A847" s="168"/>
      <c r="B847" s="168"/>
      <c r="C847" s="168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</row>
    <row r="848" spans="1:35" ht="18.75" customHeight="1">
      <c r="A848" s="168"/>
      <c r="B848" s="168"/>
      <c r="C848" s="168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</row>
    <row r="849" spans="1:35" ht="18.75" customHeight="1">
      <c r="A849" s="168"/>
      <c r="B849" s="168"/>
      <c r="C849" s="168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</row>
    <row r="850" spans="1:35" ht="18.75" customHeight="1">
      <c r="A850" s="168"/>
      <c r="B850" s="168"/>
      <c r="C850" s="168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</row>
    <row r="851" spans="1:35" ht="18.75" customHeight="1">
      <c r="A851" s="168"/>
      <c r="B851" s="168"/>
      <c r="C851" s="168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</row>
    <row r="852" spans="1:35" ht="18.75" customHeight="1">
      <c r="A852" s="168"/>
      <c r="B852" s="168"/>
      <c r="C852" s="168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</row>
    <row r="853" spans="1:35" ht="18.75" customHeight="1">
      <c r="A853" s="168"/>
      <c r="B853" s="168"/>
      <c r="C853" s="168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</row>
    <row r="854" spans="1:35" ht="18.75" customHeight="1">
      <c r="A854" s="168"/>
      <c r="B854" s="168"/>
      <c r="C854" s="168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</row>
    <row r="855" spans="1:35" ht="18.75" customHeight="1">
      <c r="A855" s="168"/>
      <c r="B855" s="168"/>
      <c r="C855" s="168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</row>
    <row r="856" spans="1:35" ht="18.75" customHeight="1">
      <c r="A856" s="168"/>
      <c r="B856" s="168"/>
      <c r="C856" s="168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</row>
    <row r="857" spans="1:35" ht="18.75" customHeight="1">
      <c r="A857" s="168"/>
      <c r="B857" s="168"/>
      <c r="C857" s="168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</row>
    <row r="858" spans="1:35" ht="18.75" customHeight="1">
      <c r="A858" s="168"/>
      <c r="B858" s="168"/>
      <c r="C858" s="168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</row>
    <row r="859" spans="1:35" ht="18.75" customHeight="1">
      <c r="A859" s="168"/>
      <c r="B859" s="168"/>
      <c r="C859" s="168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</row>
    <row r="860" spans="1:35" ht="18.75" customHeight="1">
      <c r="A860" s="168"/>
      <c r="B860" s="168"/>
      <c r="C860" s="168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</row>
    <row r="861" spans="1:35" ht="18.75" customHeight="1">
      <c r="A861" s="168"/>
      <c r="B861" s="168"/>
      <c r="C861" s="168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</row>
    <row r="862" spans="1:35" ht="18.75" customHeight="1">
      <c r="A862" s="168"/>
      <c r="B862" s="168"/>
      <c r="C862" s="168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</row>
    <row r="863" spans="1:35" ht="18.75" customHeight="1">
      <c r="A863" s="168"/>
      <c r="B863" s="168"/>
      <c r="C863" s="168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</row>
    <row r="864" spans="1:35" ht="18.75" customHeight="1">
      <c r="A864" s="168"/>
      <c r="B864" s="168"/>
      <c r="C864" s="168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</row>
    <row r="865" spans="1:35" ht="18.75" customHeight="1">
      <c r="A865" s="168"/>
      <c r="B865" s="168"/>
      <c r="C865" s="168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</row>
    <row r="866" spans="1:35" ht="18.75" customHeight="1">
      <c r="A866" s="168"/>
      <c r="B866" s="168"/>
      <c r="C866" s="168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</row>
    <row r="867" spans="1:35" ht="18.75" customHeight="1">
      <c r="A867" s="168"/>
      <c r="B867" s="168"/>
      <c r="C867" s="168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</row>
    <row r="868" spans="1:35" ht="18.75" customHeight="1">
      <c r="A868" s="168"/>
      <c r="B868" s="168"/>
      <c r="C868" s="168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</row>
    <row r="869" spans="1:35" ht="18.75" customHeight="1">
      <c r="A869" s="168"/>
      <c r="B869" s="168"/>
      <c r="C869" s="168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</row>
    <row r="870" spans="1:35" ht="18.75" customHeight="1">
      <c r="A870" s="168"/>
      <c r="B870" s="168"/>
      <c r="C870" s="168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</row>
    <row r="871" spans="1:35" ht="18.75" customHeight="1">
      <c r="A871" s="168"/>
      <c r="B871" s="168"/>
      <c r="C871" s="168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</row>
    <row r="872" spans="1:35" ht="18.75" customHeight="1">
      <c r="A872" s="168"/>
      <c r="B872" s="168"/>
      <c r="C872" s="168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</row>
    <row r="873" spans="1:35" ht="18.75" customHeight="1">
      <c r="A873" s="168"/>
      <c r="B873" s="168"/>
      <c r="C873" s="168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</row>
    <row r="874" spans="1:35" ht="18.75" customHeight="1">
      <c r="A874" s="168"/>
      <c r="B874" s="168"/>
      <c r="C874" s="168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</row>
    <row r="875" spans="1:35" ht="18.75" customHeight="1">
      <c r="A875" s="168"/>
      <c r="B875" s="168"/>
      <c r="C875" s="168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</row>
    <row r="876" spans="1:35" ht="18.75" customHeight="1">
      <c r="A876" s="168"/>
      <c r="B876" s="168"/>
      <c r="C876" s="168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</row>
    <row r="877" spans="1:35" ht="18.75" customHeight="1">
      <c r="A877" s="168"/>
      <c r="B877" s="168"/>
      <c r="C877" s="168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</row>
    <row r="878" spans="1:35" ht="18.75" customHeight="1">
      <c r="A878" s="168"/>
      <c r="B878" s="168"/>
      <c r="C878" s="168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</row>
    <row r="879" spans="1:35" ht="18.75" customHeight="1">
      <c r="A879" s="168"/>
      <c r="B879" s="168"/>
      <c r="C879" s="168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</row>
    <row r="880" spans="1:35" ht="18.75" customHeight="1">
      <c r="A880" s="168"/>
      <c r="B880" s="168"/>
      <c r="C880" s="168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</row>
    <row r="881" spans="1:35" ht="18.75" customHeight="1">
      <c r="A881" s="168"/>
      <c r="B881" s="168"/>
      <c r="C881" s="168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</row>
    <row r="882" spans="1:35" ht="18.75" customHeight="1">
      <c r="A882" s="168"/>
      <c r="B882" s="168"/>
      <c r="C882" s="168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</row>
    <row r="883" spans="1:35" ht="18.75" customHeight="1">
      <c r="A883" s="168"/>
      <c r="B883" s="168"/>
      <c r="C883" s="168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</row>
    <row r="884" spans="1:35" ht="18.75" customHeight="1">
      <c r="A884" s="168"/>
      <c r="B884" s="168"/>
      <c r="C884" s="168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</row>
    <row r="885" spans="1:35" ht="18.75" customHeight="1">
      <c r="A885" s="168"/>
      <c r="B885" s="168"/>
      <c r="C885" s="168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</row>
    <row r="886" spans="1:35" ht="18.75" customHeight="1">
      <c r="A886" s="168"/>
      <c r="B886" s="168"/>
      <c r="C886" s="168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</row>
    <row r="887" spans="1:35" ht="18.75" customHeight="1">
      <c r="A887" s="168"/>
      <c r="B887" s="168"/>
      <c r="C887" s="168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</row>
    <row r="888" spans="1:35" ht="18.75" customHeight="1">
      <c r="A888" s="168"/>
      <c r="B888" s="168"/>
      <c r="C888" s="168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</row>
    <row r="889" spans="1:35" ht="18.75" customHeight="1">
      <c r="A889" s="168"/>
      <c r="B889" s="168"/>
      <c r="C889" s="168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</row>
    <row r="890" spans="1:35" ht="18.75" customHeight="1">
      <c r="A890" s="168"/>
      <c r="B890" s="168"/>
      <c r="C890" s="168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</row>
    <row r="891" spans="1:35" ht="18.75" customHeight="1">
      <c r="A891" s="168"/>
      <c r="B891" s="168"/>
      <c r="C891" s="168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</row>
    <row r="892" spans="1:35" ht="18.75" customHeight="1">
      <c r="A892" s="168"/>
      <c r="B892" s="168"/>
      <c r="C892" s="168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</row>
    <row r="893" spans="1:35" ht="18.75" customHeight="1">
      <c r="A893" s="168"/>
      <c r="B893" s="168"/>
      <c r="C893" s="168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</row>
    <row r="894" spans="1:35" ht="18.75" customHeight="1">
      <c r="A894" s="168"/>
      <c r="B894" s="168"/>
      <c r="C894" s="168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</row>
    <row r="895" spans="1:35" ht="18.75" customHeight="1">
      <c r="A895" s="168"/>
      <c r="B895" s="168"/>
      <c r="C895" s="168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</row>
    <row r="896" spans="1:35" ht="18.75" customHeight="1">
      <c r="A896" s="168"/>
      <c r="B896" s="168"/>
      <c r="C896" s="168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</row>
    <row r="897" spans="1:35" ht="18.75" customHeight="1">
      <c r="A897" s="168"/>
      <c r="B897" s="168"/>
      <c r="C897" s="168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</row>
    <row r="898" spans="1:35" ht="18.75" customHeight="1">
      <c r="A898" s="168"/>
      <c r="B898" s="168"/>
      <c r="C898" s="168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</row>
    <row r="899" spans="1:35" ht="18.75" customHeight="1">
      <c r="A899" s="168"/>
      <c r="B899" s="168"/>
      <c r="C899" s="168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</row>
    <row r="900" spans="1:35" ht="18.75" customHeight="1">
      <c r="A900" s="168"/>
      <c r="B900" s="168"/>
      <c r="C900" s="168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</row>
    <row r="901" spans="1:35" ht="18.75" customHeight="1">
      <c r="A901" s="168"/>
      <c r="B901" s="168"/>
      <c r="C901" s="168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</row>
    <row r="902" spans="1:35" ht="18.75" customHeight="1">
      <c r="A902" s="168"/>
      <c r="B902" s="168"/>
      <c r="C902" s="168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</row>
    <row r="903" spans="1:35" ht="18.75" customHeight="1">
      <c r="A903" s="168"/>
      <c r="B903" s="168"/>
      <c r="C903" s="168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</row>
    <row r="904" spans="1:35" ht="18.75" customHeight="1">
      <c r="A904" s="168"/>
      <c r="B904" s="168"/>
      <c r="C904" s="168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</row>
    <row r="905" spans="1:35" ht="18.75" customHeight="1">
      <c r="A905" s="168"/>
      <c r="B905" s="168"/>
      <c r="C905" s="168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</row>
    <row r="906" spans="1:35" ht="18.75" customHeight="1">
      <c r="A906" s="168"/>
      <c r="B906" s="168"/>
      <c r="C906" s="168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</row>
    <row r="907" spans="1:35" ht="18.75" customHeight="1">
      <c r="A907" s="168"/>
      <c r="B907" s="168"/>
      <c r="C907" s="168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</row>
    <row r="908" spans="1:35" ht="18.75" customHeight="1">
      <c r="A908" s="168"/>
      <c r="B908" s="168"/>
      <c r="C908" s="168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</row>
    <row r="909" spans="1:35" ht="18.75" customHeight="1">
      <c r="A909" s="168"/>
      <c r="B909" s="168"/>
      <c r="C909" s="168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</row>
    <row r="910" spans="1:35" ht="18.75" customHeight="1">
      <c r="A910" s="168"/>
      <c r="B910" s="168"/>
      <c r="C910" s="168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</row>
    <row r="911" spans="1:35" ht="18.75" customHeight="1">
      <c r="A911" s="168"/>
      <c r="B911" s="168"/>
      <c r="C911" s="168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</row>
    <row r="912" spans="1:35" ht="18.75" customHeight="1">
      <c r="A912" s="168"/>
      <c r="B912" s="168"/>
      <c r="C912" s="168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</row>
    <row r="913" spans="1:35" ht="18.75" customHeight="1">
      <c r="A913" s="168"/>
      <c r="B913" s="168"/>
      <c r="C913" s="168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</row>
    <row r="914" spans="1:35" ht="18.75" customHeight="1">
      <c r="A914" s="168"/>
      <c r="B914" s="168"/>
      <c r="C914" s="168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</row>
    <row r="915" spans="1:35" ht="18.75" customHeight="1">
      <c r="A915" s="168"/>
      <c r="B915" s="168"/>
      <c r="C915" s="168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</row>
    <row r="916" spans="1:35" ht="18.75" customHeight="1">
      <c r="A916" s="168"/>
      <c r="B916" s="168"/>
      <c r="C916" s="168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</row>
    <row r="917" spans="1:35" ht="18.75" customHeight="1">
      <c r="A917" s="168"/>
      <c r="B917" s="168"/>
      <c r="C917" s="168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</row>
    <row r="918" spans="1:35" ht="18.75" customHeight="1">
      <c r="A918" s="168"/>
      <c r="B918" s="168"/>
      <c r="C918" s="168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</row>
    <row r="919" spans="1:35" ht="18.75" customHeight="1">
      <c r="A919" s="168"/>
      <c r="B919" s="168"/>
      <c r="C919" s="168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</row>
    <row r="920" spans="1:35" ht="18.75" customHeight="1">
      <c r="A920" s="168"/>
      <c r="B920" s="168"/>
      <c r="C920" s="168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</row>
    <row r="921" spans="1:35" ht="18.75" customHeight="1">
      <c r="A921" s="168"/>
      <c r="B921" s="168"/>
      <c r="C921" s="168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</row>
    <row r="922" spans="1:35" ht="18.75" customHeight="1">
      <c r="A922" s="168"/>
      <c r="B922" s="168"/>
      <c r="C922" s="168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</row>
    <row r="923" spans="1:35" ht="18.75" customHeight="1">
      <c r="A923" s="168"/>
      <c r="B923" s="168"/>
      <c r="C923" s="168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</row>
    <row r="924" spans="1:35" ht="18.75" customHeight="1">
      <c r="A924" s="168"/>
      <c r="B924" s="168"/>
      <c r="C924" s="168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</row>
    <row r="925" spans="1:35" ht="18.75" customHeight="1">
      <c r="A925" s="168"/>
      <c r="B925" s="168"/>
      <c r="C925" s="168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</row>
    <row r="926" spans="1:35" ht="18.75" customHeight="1">
      <c r="A926" s="168"/>
      <c r="B926" s="168"/>
      <c r="C926" s="168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</row>
    <row r="927" spans="1:35" ht="18.75" customHeight="1">
      <c r="A927" s="168"/>
      <c r="B927" s="168"/>
      <c r="C927" s="168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</row>
    <row r="928" spans="1:35" ht="18.75" customHeight="1">
      <c r="A928" s="168"/>
      <c r="B928" s="168"/>
      <c r="C928" s="168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</row>
    <row r="929" spans="1:35" ht="18.75" customHeight="1">
      <c r="A929" s="168"/>
      <c r="B929" s="168"/>
      <c r="C929" s="168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</row>
    <row r="930" spans="1:35" ht="18.75" customHeight="1">
      <c r="A930" s="168"/>
      <c r="B930" s="168"/>
      <c r="C930" s="168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</row>
    <row r="931" spans="1:35" ht="18.75" customHeight="1">
      <c r="A931" s="168"/>
      <c r="B931" s="168"/>
      <c r="C931" s="168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</row>
    <row r="932" spans="1:35" ht="18.75" customHeight="1">
      <c r="A932" s="168"/>
      <c r="B932" s="168"/>
      <c r="C932" s="168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</row>
    <row r="933" spans="1:35" ht="18.75" customHeight="1">
      <c r="A933" s="168"/>
      <c r="B933" s="168"/>
      <c r="C933" s="168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</row>
    <row r="934" spans="1:35" ht="18.75" customHeight="1">
      <c r="A934" s="168"/>
      <c r="B934" s="168"/>
      <c r="C934" s="168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</row>
    <row r="935" spans="1:35" ht="18.75" customHeight="1">
      <c r="A935" s="168"/>
      <c r="B935" s="168"/>
      <c r="C935" s="168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</row>
    <row r="936" spans="1:35" ht="18.75" customHeight="1">
      <c r="A936" s="168"/>
      <c r="B936" s="168"/>
      <c r="C936" s="168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</row>
    <row r="937" spans="1:35" ht="18.75" customHeight="1">
      <c r="A937" s="168"/>
      <c r="B937" s="168"/>
      <c r="C937" s="168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</row>
    <row r="938" spans="1:35" ht="18.75" customHeight="1">
      <c r="A938" s="168"/>
      <c r="B938" s="168"/>
      <c r="C938" s="168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</row>
    <row r="939" spans="1:35" ht="18.75" customHeight="1">
      <c r="A939" s="168"/>
      <c r="B939" s="168"/>
      <c r="C939" s="168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</row>
    <row r="940" spans="1:35" ht="18.75" customHeight="1">
      <c r="A940" s="168"/>
      <c r="B940" s="168"/>
      <c r="C940" s="168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</row>
    <row r="941" spans="1:35" ht="18.75" customHeight="1">
      <c r="A941" s="168"/>
      <c r="B941" s="168"/>
      <c r="C941" s="168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</row>
    <row r="942" spans="1:35" ht="18.75" customHeight="1">
      <c r="A942" s="168"/>
      <c r="B942" s="168"/>
      <c r="C942" s="168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</row>
    <row r="943" spans="1:35" ht="18.75" customHeight="1">
      <c r="A943" s="168"/>
      <c r="B943" s="168"/>
      <c r="C943" s="168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</row>
    <row r="944" spans="1:35" ht="18.75" customHeight="1">
      <c r="A944" s="168"/>
      <c r="B944" s="168"/>
      <c r="C944" s="168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</row>
    <row r="945" spans="1:35" ht="18.75" customHeight="1">
      <c r="A945" s="168"/>
      <c r="B945" s="168"/>
      <c r="C945" s="168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</row>
    <row r="946" spans="1:35" ht="18.75" customHeight="1">
      <c r="A946" s="168"/>
      <c r="B946" s="168"/>
      <c r="C946" s="168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</row>
    <row r="947" spans="1:35" ht="18.75" customHeight="1">
      <c r="A947" s="168"/>
      <c r="B947" s="168"/>
      <c r="C947" s="168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</row>
    <row r="948" spans="1:35" ht="18.75" customHeight="1">
      <c r="A948" s="168"/>
      <c r="B948" s="168"/>
      <c r="C948" s="168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</row>
    <row r="949" spans="1:35" ht="18.75" customHeight="1">
      <c r="A949" s="168"/>
      <c r="B949" s="168"/>
      <c r="C949" s="168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</row>
    <row r="950" spans="1:35" ht="18.75" customHeight="1">
      <c r="A950" s="168"/>
      <c r="B950" s="168"/>
      <c r="C950" s="168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</row>
    <row r="951" spans="1:35" ht="18.75" customHeight="1">
      <c r="A951" s="168"/>
      <c r="B951" s="168"/>
      <c r="C951" s="168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</row>
    <row r="952" spans="1:35" ht="18.75" customHeight="1">
      <c r="A952" s="168"/>
      <c r="B952" s="168"/>
      <c r="C952" s="168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</row>
    <row r="953" spans="1:35" ht="18.75" customHeight="1">
      <c r="A953" s="168"/>
      <c r="B953" s="168"/>
      <c r="C953" s="168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</row>
    <row r="954" spans="1:35" ht="18.75" customHeight="1">
      <c r="A954" s="168"/>
      <c r="B954" s="168"/>
      <c r="C954" s="168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</row>
    <row r="955" spans="1:35" ht="18.75" customHeight="1">
      <c r="A955" s="168"/>
      <c r="B955" s="168"/>
      <c r="C955" s="168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</row>
    <row r="956" spans="1:35" ht="18.75" customHeight="1">
      <c r="A956" s="168"/>
      <c r="B956" s="168"/>
      <c r="C956" s="168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</row>
    <row r="957" spans="1:35" ht="18.75" customHeight="1">
      <c r="A957" s="168"/>
      <c r="B957" s="168"/>
      <c r="C957" s="168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</row>
    <row r="958" spans="1:35" ht="18.75" customHeight="1">
      <c r="A958" s="168"/>
      <c r="B958" s="168"/>
      <c r="C958" s="168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</row>
    <row r="959" spans="1:35" ht="18.75" customHeight="1">
      <c r="A959" s="168"/>
      <c r="B959" s="168"/>
      <c r="C959" s="168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</row>
    <row r="960" spans="1:35" ht="18.75" customHeight="1">
      <c r="A960" s="168"/>
      <c r="B960" s="168"/>
      <c r="C960" s="168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</row>
    <row r="961" spans="1:35" ht="18.75" customHeight="1">
      <c r="A961" s="168"/>
      <c r="B961" s="168"/>
      <c r="C961" s="168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</row>
    <row r="962" spans="1:35" ht="18.75" customHeight="1">
      <c r="A962" s="168"/>
      <c r="B962" s="168"/>
      <c r="C962" s="168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</row>
    <row r="963" spans="1:35" ht="18.75" customHeight="1">
      <c r="A963" s="168"/>
      <c r="B963" s="168"/>
      <c r="C963" s="168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</row>
    <row r="964" spans="1:35" ht="18.75" customHeight="1">
      <c r="A964" s="168"/>
      <c r="B964" s="168"/>
      <c r="C964" s="168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</row>
    <row r="965" spans="1:35" ht="18.75" customHeight="1">
      <c r="A965" s="168"/>
      <c r="B965" s="168"/>
      <c r="C965" s="168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</row>
    <row r="966" spans="1:35" ht="18.75" customHeight="1">
      <c r="A966" s="168"/>
      <c r="B966" s="168"/>
      <c r="C966" s="168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</row>
    <row r="967" spans="1:35" ht="18.75" customHeight="1">
      <c r="A967" s="168"/>
      <c r="B967" s="168"/>
      <c r="C967" s="168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</row>
    <row r="968" spans="1:35" ht="18.75" customHeight="1">
      <c r="A968" s="168"/>
      <c r="B968" s="168"/>
      <c r="C968" s="168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</row>
    <row r="969" spans="1:35" ht="18.75" customHeight="1">
      <c r="A969" s="168"/>
      <c r="B969" s="168"/>
      <c r="C969" s="168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</row>
    <row r="970" spans="1:35" ht="18.75" customHeight="1">
      <c r="A970" s="168"/>
      <c r="B970" s="168"/>
      <c r="C970" s="168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</row>
    <row r="971" spans="1:35" ht="18.75" customHeight="1">
      <c r="A971" s="168"/>
      <c r="B971" s="168"/>
      <c r="C971" s="168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</row>
    <row r="972" spans="1:35" ht="18.75" customHeight="1">
      <c r="A972" s="168"/>
      <c r="B972" s="168"/>
      <c r="C972" s="168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</row>
    <row r="973" spans="1:35" ht="18.75" customHeight="1">
      <c r="A973" s="168"/>
      <c r="B973" s="168"/>
      <c r="C973" s="168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</row>
    <row r="974" spans="1:35" ht="18.75" customHeight="1">
      <c r="A974" s="168"/>
      <c r="B974" s="168"/>
      <c r="C974" s="168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</row>
    <row r="975" spans="1:35" ht="18.75" customHeight="1">
      <c r="A975" s="168"/>
      <c r="B975" s="168"/>
      <c r="C975" s="168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</row>
    <row r="976" spans="1:35" ht="18.75" customHeight="1">
      <c r="A976" s="168"/>
      <c r="B976" s="168"/>
      <c r="C976" s="168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</row>
    <row r="977" spans="1:35" ht="18.75" customHeight="1">
      <c r="A977" s="168"/>
      <c r="B977" s="168"/>
      <c r="C977" s="168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</row>
    <row r="978" spans="1:35" ht="18.75" customHeight="1">
      <c r="A978" s="168"/>
      <c r="B978" s="168"/>
      <c r="C978" s="168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</row>
    <row r="979" spans="1:35" ht="18.75" customHeight="1">
      <c r="A979" s="168"/>
      <c r="B979" s="168"/>
      <c r="C979" s="168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</row>
    <row r="980" spans="1:35" ht="18.75" customHeight="1">
      <c r="A980" s="168"/>
      <c r="B980" s="168"/>
      <c r="C980" s="168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</row>
    <row r="981" spans="1:35" ht="18.75" customHeight="1">
      <c r="A981" s="168"/>
      <c r="B981" s="168"/>
      <c r="C981" s="168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</row>
    <row r="982" spans="1:35" ht="18.75" customHeight="1">
      <c r="A982" s="168"/>
      <c r="B982" s="168"/>
      <c r="C982" s="168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</row>
    <row r="983" spans="1:35" ht="18.75" customHeight="1">
      <c r="A983" s="168"/>
      <c r="B983" s="168"/>
      <c r="C983" s="168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</row>
    <row r="984" spans="1:35" ht="18.75" customHeight="1">
      <c r="A984" s="168"/>
      <c r="B984" s="168"/>
      <c r="C984" s="168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</row>
    <row r="985" spans="1:35" ht="18.75" customHeight="1">
      <c r="A985" s="168"/>
      <c r="B985" s="168"/>
      <c r="C985" s="168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</row>
    <row r="986" spans="1:35" ht="18.75" customHeight="1">
      <c r="A986" s="168"/>
      <c r="B986" s="168"/>
      <c r="C986" s="168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</row>
    <row r="987" spans="1:35" ht="18.75" customHeight="1">
      <c r="A987" s="168"/>
      <c r="B987" s="168"/>
      <c r="C987" s="168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</row>
    <row r="988" spans="1:35" ht="18.75" customHeight="1">
      <c r="A988" s="168"/>
      <c r="B988" s="168"/>
      <c r="C988" s="168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</row>
    <row r="989" spans="1:35" ht="18.75" customHeight="1">
      <c r="A989" s="168"/>
      <c r="B989" s="168"/>
      <c r="C989" s="168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</row>
    <row r="990" spans="1:35" ht="18.75" customHeight="1">
      <c r="A990" s="168"/>
      <c r="B990" s="168"/>
      <c r="C990" s="168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</row>
    <row r="991" spans="1:35" ht="18.75" customHeight="1">
      <c r="A991" s="168"/>
      <c r="B991" s="168"/>
      <c r="C991" s="168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  <c r="AG991" s="111"/>
      <c r="AH991" s="111"/>
      <c r="AI991" s="111"/>
    </row>
    <row r="992" spans="1:35" ht="18.75" customHeight="1">
      <c r="A992" s="168"/>
      <c r="B992" s="168"/>
      <c r="C992" s="168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  <c r="AG992" s="111"/>
      <c r="AH992" s="111"/>
      <c r="AI992" s="111"/>
    </row>
    <row r="993" spans="1:35" ht="18.75" customHeight="1">
      <c r="A993" s="168"/>
      <c r="B993" s="168"/>
      <c r="C993" s="168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  <c r="AG993" s="111"/>
      <c r="AH993" s="111"/>
      <c r="AI993" s="111"/>
    </row>
    <row r="994" spans="1:35" ht="18.75" customHeight="1">
      <c r="A994" s="168"/>
      <c r="B994" s="168"/>
      <c r="C994" s="168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  <c r="AG994" s="111"/>
      <c r="AH994" s="111"/>
      <c r="AI994" s="111"/>
    </row>
    <row r="995" spans="1:35" ht="18.75" customHeight="1">
      <c r="A995" s="168"/>
      <c r="B995" s="168"/>
      <c r="C995" s="168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  <c r="AG995" s="111"/>
      <c r="AH995" s="111"/>
      <c r="AI995" s="111"/>
    </row>
    <row r="996" spans="1:35" ht="18.75" customHeight="1">
      <c r="A996" s="168"/>
      <c r="B996" s="168"/>
      <c r="C996" s="168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</row>
    <row r="997" spans="1:35" ht="18.75" customHeight="1">
      <c r="A997" s="168"/>
      <c r="B997" s="168"/>
      <c r="C997" s="168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  <c r="AG997" s="111"/>
      <c r="AH997" s="111"/>
      <c r="AI997" s="111"/>
    </row>
    <row r="998" spans="1:35" ht="18.75" customHeight="1">
      <c r="A998" s="168"/>
      <c r="B998" s="168"/>
      <c r="C998" s="168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</row>
    <row r="999" spans="1:35" ht="18.75" customHeight="1">
      <c r="A999" s="168"/>
      <c r="B999" s="168"/>
      <c r="C999" s="168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</row>
    <row r="1000" spans="1:35" ht="18.75" customHeight="1">
      <c r="A1000" s="168"/>
      <c r="B1000" s="168"/>
      <c r="C1000" s="168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</row>
    <row r="1001" spans="1:35" ht="18.75" customHeight="1">
      <c r="A1001" s="168"/>
      <c r="B1001" s="168"/>
      <c r="C1001" s="168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  <c r="AB1001" s="111"/>
      <c r="AC1001" s="111"/>
      <c r="AD1001" s="111"/>
      <c r="AE1001" s="111"/>
      <c r="AF1001" s="111"/>
      <c r="AG1001" s="111"/>
      <c r="AH1001" s="111"/>
      <c r="AI1001" s="111"/>
    </row>
    <row r="1002" spans="1:35" ht="18.75" customHeight="1">
      <c r="A1002" s="168"/>
      <c r="B1002" s="168"/>
      <c r="C1002" s="168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  <c r="AB1002" s="111"/>
      <c r="AC1002" s="111"/>
      <c r="AD1002" s="111"/>
      <c r="AE1002" s="111"/>
      <c r="AF1002" s="111"/>
      <c r="AG1002" s="111"/>
      <c r="AH1002" s="111"/>
      <c r="AI1002" s="111"/>
    </row>
    <row r="1003" spans="1:35" ht="18.75" customHeight="1">
      <c r="A1003" s="168"/>
      <c r="B1003" s="168"/>
      <c r="C1003" s="168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  <c r="AA1003" s="111"/>
      <c r="AB1003" s="111"/>
      <c r="AC1003" s="111"/>
      <c r="AD1003" s="111"/>
      <c r="AE1003" s="111"/>
      <c r="AF1003" s="111"/>
      <c r="AG1003" s="111"/>
      <c r="AH1003" s="111"/>
      <c r="AI1003" s="111"/>
    </row>
    <row r="1004" spans="1:35" ht="18.75" customHeight="1">
      <c r="A1004" s="168"/>
      <c r="B1004" s="168"/>
      <c r="C1004" s="168"/>
      <c r="D1004" s="111"/>
      <c r="E1004" s="111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  <c r="AA1004" s="111"/>
      <c r="AB1004" s="111"/>
      <c r="AC1004" s="111"/>
      <c r="AD1004" s="111"/>
      <c r="AE1004" s="111"/>
      <c r="AF1004" s="111"/>
      <c r="AG1004" s="111"/>
      <c r="AH1004" s="111"/>
      <c r="AI1004" s="111"/>
    </row>
    <row r="1005" spans="1:35" ht="18.75" customHeight="1">
      <c r="A1005" s="168"/>
      <c r="B1005" s="168"/>
      <c r="C1005" s="168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  <c r="AA1005" s="111"/>
      <c r="AB1005" s="111"/>
      <c r="AC1005" s="111"/>
      <c r="AD1005" s="111"/>
      <c r="AE1005" s="111"/>
      <c r="AF1005" s="111"/>
      <c r="AG1005" s="111"/>
      <c r="AH1005" s="111"/>
      <c r="AI1005" s="111"/>
    </row>
    <row r="1006" spans="1:35" ht="18.75" customHeight="1">
      <c r="A1006" s="168"/>
      <c r="B1006" s="168"/>
      <c r="C1006" s="168"/>
      <c r="D1006" s="111"/>
      <c r="E1006" s="111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  <c r="AA1006" s="111"/>
      <c r="AB1006" s="111"/>
      <c r="AC1006" s="111"/>
      <c r="AD1006" s="111"/>
      <c r="AE1006" s="111"/>
      <c r="AF1006" s="111"/>
      <c r="AG1006" s="111"/>
      <c r="AH1006" s="111"/>
      <c r="AI1006" s="111"/>
    </row>
    <row r="1007" spans="1:35" ht="18.75" customHeight="1">
      <c r="A1007" s="168"/>
      <c r="B1007" s="168"/>
      <c r="C1007" s="168"/>
      <c r="D1007" s="111"/>
      <c r="E1007" s="111"/>
      <c r="F1007" s="111"/>
      <c r="G1007" s="111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1"/>
      <c r="R1007" s="111"/>
      <c r="S1007" s="111"/>
      <c r="T1007" s="111"/>
      <c r="U1007" s="111"/>
      <c r="V1007" s="111"/>
      <c r="W1007" s="111"/>
      <c r="X1007" s="111"/>
      <c r="Y1007" s="111"/>
      <c r="Z1007" s="111"/>
      <c r="AA1007" s="111"/>
      <c r="AB1007" s="111"/>
      <c r="AC1007" s="111"/>
      <c r="AD1007" s="111"/>
      <c r="AE1007" s="111"/>
      <c r="AF1007" s="111"/>
      <c r="AG1007" s="111"/>
      <c r="AH1007" s="111"/>
      <c r="AI1007" s="111"/>
    </row>
    <row r="1008" spans="1:35" ht="18.75" customHeight="1">
      <c r="A1008" s="168"/>
      <c r="B1008" s="168"/>
      <c r="C1008" s="168"/>
      <c r="D1008" s="111"/>
      <c r="E1008" s="111"/>
      <c r="F1008" s="111"/>
      <c r="G1008" s="111"/>
      <c r="H1008" s="111"/>
      <c r="I1008" s="111"/>
      <c r="J1008" s="111"/>
      <c r="K1008" s="111"/>
      <c r="L1008" s="111"/>
      <c r="M1008" s="111"/>
      <c r="N1008" s="111"/>
      <c r="O1008" s="111"/>
      <c r="P1008" s="111"/>
      <c r="Q1008" s="111"/>
      <c r="R1008" s="111"/>
      <c r="S1008" s="111"/>
      <c r="T1008" s="111"/>
      <c r="U1008" s="111"/>
      <c r="V1008" s="111"/>
      <c r="W1008" s="111"/>
      <c r="X1008" s="111"/>
      <c r="Y1008" s="111"/>
      <c r="Z1008" s="111"/>
      <c r="AA1008" s="111"/>
      <c r="AB1008" s="111"/>
      <c r="AC1008" s="111"/>
      <c r="AD1008" s="111"/>
      <c r="AE1008" s="111"/>
      <c r="AF1008" s="111"/>
      <c r="AG1008" s="111"/>
      <c r="AH1008" s="111"/>
      <c r="AI1008" s="111"/>
    </row>
    <row r="1009" spans="1:35" ht="18.75" customHeight="1">
      <c r="A1009" s="168"/>
      <c r="B1009" s="168"/>
      <c r="C1009" s="168"/>
      <c r="D1009" s="111"/>
      <c r="E1009" s="111"/>
      <c r="F1009" s="111"/>
      <c r="G1009" s="111"/>
      <c r="H1009" s="111"/>
      <c r="I1009" s="111"/>
      <c r="J1009" s="111"/>
      <c r="K1009" s="111"/>
      <c r="L1009" s="111"/>
      <c r="M1009" s="111"/>
      <c r="N1009" s="111"/>
      <c r="O1009" s="111"/>
      <c r="P1009" s="111"/>
      <c r="Q1009" s="111"/>
      <c r="R1009" s="111"/>
      <c r="S1009" s="111"/>
      <c r="T1009" s="111"/>
      <c r="U1009" s="111"/>
      <c r="V1009" s="111"/>
      <c r="W1009" s="111"/>
      <c r="X1009" s="111"/>
      <c r="Y1009" s="111"/>
      <c r="Z1009" s="111"/>
      <c r="AA1009" s="111"/>
      <c r="AB1009" s="111"/>
      <c r="AC1009" s="111"/>
      <c r="AD1009" s="111"/>
      <c r="AE1009" s="111"/>
      <c r="AF1009" s="111"/>
      <c r="AG1009" s="111"/>
      <c r="AH1009" s="111"/>
      <c r="AI1009" s="111"/>
    </row>
    <row r="1010" spans="1:35" ht="18.75" customHeight="1">
      <c r="A1010" s="168"/>
      <c r="B1010" s="168"/>
      <c r="C1010" s="168"/>
      <c r="D1010" s="111"/>
      <c r="E1010" s="111"/>
      <c r="F1010" s="111"/>
      <c r="G1010" s="111"/>
      <c r="H1010" s="111"/>
      <c r="I1010" s="111"/>
      <c r="J1010" s="111"/>
      <c r="K1010" s="111"/>
      <c r="L1010" s="111"/>
      <c r="M1010" s="111"/>
      <c r="N1010" s="111"/>
      <c r="O1010" s="111"/>
      <c r="P1010" s="111"/>
      <c r="Q1010" s="111"/>
      <c r="R1010" s="111"/>
      <c r="S1010" s="111"/>
      <c r="T1010" s="111"/>
      <c r="U1010" s="111"/>
      <c r="V1010" s="111"/>
      <c r="W1010" s="111"/>
      <c r="X1010" s="111"/>
      <c r="Y1010" s="111"/>
      <c r="Z1010" s="111"/>
      <c r="AA1010" s="111"/>
      <c r="AB1010" s="111"/>
      <c r="AC1010" s="111"/>
      <c r="AD1010" s="111"/>
      <c r="AE1010" s="111"/>
      <c r="AF1010" s="111"/>
      <c r="AG1010" s="111"/>
      <c r="AH1010" s="111"/>
      <c r="AI1010" s="111"/>
    </row>
    <row r="1011" spans="1:35" ht="18.75" customHeight="1">
      <c r="A1011" s="168"/>
      <c r="B1011" s="168"/>
      <c r="C1011" s="168"/>
      <c r="D1011" s="111"/>
      <c r="E1011" s="111"/>
      <c r="F1011" s="111"/>
      <c r="G1011" s="111"/>
      <c r="H1011" s="111"/>
      <c r="I1011" s="111"/>
      <c r="J1011" s="111"/>
      <c r="K1011" s="111"/>
      <c r="L1011" s="111"/>
      <c r="M1011" s="111"/>
      <c r="N1011" s="111"/>
      <c r="O1011" s="111"/>
      <c r="P1011" s="111"/>
      <c r="Q1011" s="111"/>
      <c r="R1011" s="111"/>
      <c r="S1011" s="111"/>
      <c r="T1011" s="111"/>
      <c r="U1011" s="111"/>
      <c r="V1011" s="111"/>
      <c r="W1011" s="111"/>
      <c r="X1011" s="111"/>
      <c r="Y1011" s="111"/>
      <c r="Z1011" s="111"/>
      <c r="AA1011" s="111"/>
      <c r="AB1011" s="111"/>
      <c r="AC1011" s="111"/>
      <c r="AD1011" s="111"/>
      <c r="AE1011" s="111"/>
      <c r="AF1011" s="111"/>
      <c r="AG1011" s="111"/>
      <c r="AH1011" s="111"/>
      <c r="AI1011" s="111"/>
    </row>
    <row r="1012" spans="1:35" ht="18.75" customHeight="1">
      <c r="A1012" s="168"/>
      <c r="B1012" s="168"/>
      <c r="C1012" s="168"/>
      <c r="D1012" s="111"/>
      <c r="E1012" s="111"/>
      <c r="F1012" s="111"/>
      <c r="G1012" s="111"/>
      <c r="H1012" s="111"/>
      <c r="I1012" s="111"/>
      <c r="J1012" s="111"/>
      <c r="K1012" s="111"/>
      <c r="L1012" s="111"/>
      <c r="M1012" s="111"/>
      <c r="N1012" s="111"/>
      <c r="O1012" s="111"/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/>
      <c r="AB1012" s="111"/>
      <c r="AC1012" s="111"/>
      <c r="AD1012" s="111"/>
      <c r="AE1012" s="111"/>
      <c r="AF1012" s="111"/>
      <c r="AG1012" s="111"/>
      <c r="AH1012" s="111"/>
      <c r="AI1012" s="111"/>
    </row>
    <row r="1013" spans="1:35" ht="18.75" customHeight="1">
      <c r="A1013" s="168"/>
      <c r="B1013" s="168"/>
      <c r="C1013" s="168"/>
      <c r="D1013" s="111"/>
      <c r="E1013" s="111"/>
      <c r="F1013" s="111"/>
      <c r="G1013" s="111"/>
      <c r="H1013" s="111"/>
      <c r="I1013" s="111"/>
      <c r="J1013" s="111"/>
      <c r="K1013" s="111"/>
      <c r="L1013" s="111"/>
      <c r="M1013" s="111"/>
      <c r="N1013" s="111"/>
      <c r="O1013" s="111"/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/>
      <c r="AB1013" s="111"/>
      <c r="AC1013" s="111"/>
      <c r="AD1013" s="111"/>
      <c r="AE1013" s="111"/>
      <c r="AF1013" s="111"/>
      <c r="AG1013" s="111"/>
      <c r="AH1013" s="111"/>
      <c r="AI1013" s="111"/>
    </row>
    <row r="1014" spans="1:35" ht="18.75" customHeight="1">
      <c r="A1014" s="168"/>
      <c r="B1014" s="168"/>
      <c r="C1014" s="168"/>
      <c r="D1014" s="111"/>
      <c r="E1014" s="111"/>
      <c r="F1014" s="111"/>
      <c r="G1014" s="111"/>
      <c r="H1014" s="111"/>
      <c r="I1014" s="111"/>
      <c r="J1014" s="111"/>
      <c r="K1014" s="111"/>
      <c r="L1014" s="111"/>
      <c r="M1014" s="111"/>
      <c r="N1014" s="111"/>
      <c r="O1014" s="111"/>
      <c r="P1014" s="111"/>
      <c r="Q1014" s="111"/>
      <c r="R1014" s="111"/>
      <c r="S1014" s="111"/>
      <c r="T1014" s="111"/>
      <c r="U1014" s="111"/>
      <c r="V1014" s="111"/>
      <c r="W1014" s="111"/>
      <c r="X1014" s="111"/>
      <c r="Y1014" s="111"/>
      <c r="Z1014" s="111"/>
      <c r="AA1014" s="111"/>
      <c r="AB1014" s="111"/>
      <c r="AC1014" s="111"/>
      <c r="AD1014" s="111"/>
      <c r="AE1014" s="111"/>
      <c r="AF1014" s="111"/>
      <c r="AG1014" s="111"/>
      <c r="AH1014" s="111"/>
      <c r="AI1014" s="111"/>
    </row>
    <row r="1015" spans="1:35" ht="18.75" customHeight="1">
      <c r="A1015" s="168"/>
      <c r="B1015" s="168"/>
      <c r="C1015" s="168"/>
      <c r="D1015" s="111"/>
      <c r="E1015" s="111"/>
      <c r="F1015" s="111"/>
      <c r="G1015" s="111"/>
      <c r="H1015" s="111"/>
      <c r="I1015" s="111"/>
      <c r="J1015" s="111"/>
      <c r="K1015" s="111"/>
      <c r="L1015" s="111"/>
      <c r="M1015" s="111"/>
      <c r="N1015" s="111"/>
      <c r="O1015" s="111"/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/>
      <c r="AB1015" s="111"/>
      <c r="AC1015" s="111"/>
      <c r="AD1015" s="111"/>
      <c r="AE1015" s="111"/>
      <c r="AF1015" s="111"/>
      <c r="AG1015" s="111"/>
      <c r="AH1015" s="111"/>
      <c r="AI1015" s="111"/>
    </row>
    <row r="1016" spans="1:35" ht="18.75" customHeight="1">
      <c r="A1016" s="168"/>
      <c r="B1016" s="168"/>
      <c r="C1016" s="168"/>
      <c r="D1016" s="111"/>
      <c r="E1016" s="111"/>
      <c r="F1016" s="111"/>
      <c r="G1016" s="111"/>
      <c r="H1016" s="111"/>
      <c r="I1016" s="111"/>
      <c r="J1016" s="111"/>
      <c r="K1016" s="111"/>
      <c r="L1016" s="111"/>
      <c r="M1016" s="111"/>
      <c r="N1016" s="111"/>
      <c r="O1016" s="111"/>
      <c r="P1016" s="111"/>
      <c r="Q1016" s="111"/>
      <c r="R1016" s="111"/>
      <c r="S1016" s="111"/>
      <c r="T1016" s="111"/>
      <c r="U1016" s="111"/>
      <c r="V1016" s="111"/>
      <c r="W1016" s="111"/>
      <c r="X1016" s="111"/>
      <c r="Y1016" s="111"/>
      <c r="Z1016" s="111"/>
      <c r="AA1016" s="111"/>
      <c r="AB1016" s="111"/>
      <c r="AC1016" s="111"/>
      <c r="AD1016" s="111"/>
      <c r="AE1016" s="111"/>
      <c r="AF1016" s="111"/>
      <c r="AG1016" s="111"/>
      <c r="AH1016" s="111"/>
      <c r="AI1016" s="111"/>
    </row>
    <row r="1017" spans="1:35" ht="18.75" customHeight="1">
      <c r="A1017" s="168"/>
      <c r="B1017" s="168"/>
      <c r="C1017" s="168"/>
      <c r="D1017" s="111"/>
      <c r="E1017" s="111"/>
      <c r="F1017" s="111"/>
      <c r="G1017" s="111"/>
      <c r="H1017" s="111"/>
      <c r="I1017" s="111"/>
      <c r="J1017" s="111"/>
      <c r="K1017" s="111"/>
      <c r="L1017" s="111"/>
      <c r="M1017" s="111"/>
      <c r="N1017" s="111"/>
      <c r="O1017" s="111"/>
      <c r="P1017" s="111"/>
      <c r="Q1017" s="111"/>
      <c r="R1017" s="111"/>
      <c r="S1017" s="111"/>
      <c r="T1017" s="111"/>
      <c r="U1017" s="111"/>
      <c r="V1017" s="111"/>
      <c r="W1017" s="111"/>
      <c r="X1017" s="111"/>
      <c r="Y1017" s="111"/>
      <c r="Z1017" s="111"/>
      <c r="AA1017" s="111"/>
      <c r="AB1017" s="111"/>
      <c r="AC1017" s="111"/>
      <c r="AD1017" s="111"/>
      <c r="AE1017" s="111"/>
      <c r="AF1017" s="111"/>
      <c r="AG1017" s="111"/>
      <c r="AH1017" s="111"/>
      <c r="AI1017" s="111"/>
    </row>
    <row r="1018" spans="1:35" ht="18.75" customHeight="1">
      <c r="A1018" s="168"/>
      <c r="B1018" s="168"/>
      <c r="C1018" s="168"/>
      <c r="D1018" s="111"/>
      <c r="E1018" s="111"/>
      <c r="F1018" s="111"/>
      <c r="G1018" s="111"/>
      <c r="H1018" s="111"/>
      <c r="I1018" s="111"/>
      <c r="J1018" s="111"/>
      <c r="K1018" s="111"/>
      <c r="L1018" s="111"/>
      <c r="M1018" s="111"/>
      <c r="N1018" s="111"/>
      <c r="O1018" s="111"/>
      <c r="P1018" s="111"/>
      <c r="Q1018" s="111"/>
      <c r="R1018" s="111"/>
      <c r="S1018" s="111"/>
      <c r="T1018" s="111"/>
      <c r="U1018" s="111"/>
      <c r="V1018" s="111"/>
      <c r="W1018" s="111"/>
      <c r="X1018" s="111"/>
      <c r="Y1018" s="111"/>
      <c r="Z1018" s="111"/>
      <c r="AA1018" s="111"/>
      <c r="AB1018" s="111"/>
      <c r="AC1018" s="111"/>
      <c r="AD1018" s="111"/>
      <c r="AE1018" s="111"/>
      <c r="AF1018" s="111"/>
      <c r="AG1018" s="111"/>
      <c r="AH1018" s="111"/>
      <c r="AI1018" s="111"/>
    </row>
    <row r="1019" spans="1:35" ht="18.75" customHeight="1">
      <c r="A1019" s="168"/>
      <c r="B1019" s="168"/>
      <c r="C1019" s="168"/>
      <c r="D1019" s="111"/>
      <c r="E1019" s="111"/>
      <c r="F1019" s="111"/>
      <c r="G1019" s="111"/>
      <c r="H1019" s="111"/>
      <c r="I1019" s="111"/>
      <c r="J1019" s="111"/>
      <c r="K1019" s="111"/>
      <c r="L1019" s="111"/>
      <c r="M1019" s="111"/>
      <c r="N1019" s="111"/>
      <c r="O1019" s="111"/>
      <c r="P1019" s="111"/>
      <c r="Q1019" s="111"/>
      <c r="R1019" s="111"/>
      <c r="S1019" s="111"/>
      <c r="T1019" s="111"/>
      <c r="U1019" s="111"/>
      <c r="V1019" s="111"/>
      <c r="W1019" s="111"/>
      <c r="X1019" s="111"/>
      <c r="Y1019" s="111"/>
      <c r="Z1019" s="111"/>
      <c r="AA1019" s="111"/>
      <c r="AB1019" s="111"/>
      <c r="AC1019" s="111"/>
      <c r="AD1019" s="111"/>
      <c r="AE1019" s="111"/>
      <c r="AF1019" s="111"/>
      <c r="AG1019" s="111"/>
      <c r="AH1019" s="111"/>
      <c r="AI1019" s="111"/>
    </row>
    <row r="1020" spans="1:35" ht="18.75" customHeight="1">
      <c r="A1020" s="168"/>
      <c r="B1020" s="168"/>
      <c r="C1020" s="168"/>
      <c r="D1020" s="111"/>
      <c r="E1020" s="111"/>
      <c r="F1020" s="111"/>
      <c r="G1020" s="111"/>
      <c r="H1020" s="111"/>
      <c r="I1020" s="111"/>
      <c r="J1020" s="111"/>
      <c r="K1020" s="111"/>
      <c r="L1020" s="111"/>
      <c r="M1020" s="111"/>
      <c r="N1020" s="111"/>
      <c r="O1020" s="111"/>
      <c r="P1020" s="111"/>
      <c r="Q1020" s="111"/>
      <c r="R1020" s="111"/>
      <c r="S1020" s="111"/>
      <c r="T1020" s="111"/>
      <c r="U1020" s="111"/>
      <c r="V1020" s="111"/>
      <c r="W1020" s="111"/>
      <c r="X1020" s="111"/>
      <c r="Y1020" s="111"/>
      <c r="Z1020" s="111"/>
      <c r="AA1020" s="111"/>
      <c r="AB1020" s="111"/>
      <c r="AC1020" s="111"/>
      <c r="AD1020" s="111"/>
      <c r="AE1020" s="111"/>
      <c r="AF1020" s="111"/>
      <c r="AG1020" s="111"/>
      <c r="AH1020" s="111"/>
      <c r="AI1020" s="111"/>
    </row>
    <row r="1021" spans="1:35" ht="18.75" customHeight="1">
      <c r="A1021" s="168"/>
      <c r="B1021" s="168"/>
      <c r="C1021" s="168"/>
      <c r="D1021" s="111"/>
      <c r="E1021" s="111"/>
      <c r="F1021" s="111"/>
      <c r="G1021" s="111"/>
      <c r="H1021" s="111"/>
      <c r="I1021" s="111"/>
      <c r="J1021" s="111"/>
      <c r="K1021" s="111"/>
      <c r="L1021" s="111"/>
      <c r="M1021" s="111"/>
      <c r="N1021" s="111"/>
      <c r="O1021" s="111"/>
      <c r="P1021" s="111"/>
      <c r="Q1021" s="111"/>
      <c r="R1021" s="111"/>
      <c r="S1021" s="111"/>
      <c r="T1021" s="111"/>
      <c r="U1021" s="111"/>
      <c r="V1021" s="111"/>
      <c r="W1021" s="111"/>
      <c r="X1021" s="111"/>
      <c r="Y1021" s="111"/>
      <c r="Z1021" s="111"/>
      <c r="AA1021" s="111"/>
      <c r="AB1021" s="111"/>
      <c r="AC1021" s="111"/>
      <c r="AD1021" s="111"/>
      <c r="AE1021" s="111"/>
      <c r="AF1021" s="111"/>
      <c r="AG1021" s="111"/>
      <c r="AH1021" s="111"/>
      <c r="AI1021" s="111"/>
    </row>
    <row r="1022" spans="1:35" ht="18.75" customHeight="1">
      <c r="A1022" s="168"/>
      <c r="B1022" s="168"/>
      <c r="C1022" s="168"/>
      <c r="D1022" s="111"/>
      <c r="E1022" s="111"/>
      <c r="F1022" s="111"/>
      <c r="G1022" s="111"/>
      <c r="H1022" s="111"/>
      <c r="I1022" s="111"/>
      <c r="J1022" s="111"/>
      <c r="K1022" s="111"/>
      <c r="L1022" s="111"/>
      <c r="M1022" s="111"/>
      <c r="N1022" s="111"/>
      <c r="O1022" s="111"/>
      <c r="P1022" s="111"/>
      <c r="Q1022" s="111"/>
      <c r="R1022" s="111"/>
      <c r="S1022" s="111"/>
      <c r="T1022" s="111"/>
      <c r="U1022" s="111"/>
      <c r="V1022" s="111"/>
      <c r="W1022" s="111"/>
      <c r="X1022" s="111"/>
      <c r="Y1022" s="111"/>
      <c r="Z1022" s="111"/>
      <c r="AA1022" s="111"/>
      <c r="AB1022" s="111"/>
      <c r="AC1022" s="111"/>
      <c r="AD1022" s="111"/>
      <c r="AE1022" s="111"/>
      <c r="AF1022" s="111"/>
      <c r="AG1022" s="111"/>
      <c r="AH1022" s="111"/>
      <c r="AI1022" s="111"/>
    </row>
    <row r="1023" spans="1:35" ht="18.75" customHeight="1">
      <c r="A1023" s="168"/>
      <c r="B1023" s="168"/>
      <c r="C1023" s="168"/>
      <c r="D1023" s="111"/>
      <c r="E1023" s="111"/>
      <c r="F1023" s="111"/>
      <c r="G1023" s="111"/>
      <c r="H1023" s="111"/>
      <c r="I1023" s="111"/>
      <c r="J1023" s="111"/>
      <c r="K1023" s="111"/>
      <c r="L1023" s="111"/>
      <c r="M1023" s="111"/>
      <c r="N1023" s="111"/>
      <c r="O1023" s="111"/>
      <c r="P1023" s="111"/>
      <c r="Q1023" s="111"/>
      <c r="R1023" s="111"/>
      <c r="S1023" s="111"/>
      <c r="T1023" s="111"/>
      <c r="U1023" s="111"/>
      <c r="V1023" s="111"/>
      <c r="W1023" s="111"/>
      <c r="X1023" s="111"/>
      <c r="Y1023" s="111"/>
      <c r="Z1023" s="111"/>
      <c r="AA1023" s="111"/>
      <c r="AB1023" s="111"/>
      <c r="AC1023" s="111"/>
      <c r="AD1023" s="111"/>
      <c r="AE1023" s="111"/>
      <c r="AF1023" s="111"/>
      <c r="AG1023" s="111"/>
      <c r="AH1023" s="111"/>
      <c r="AI1023" s="111"/>
    </row>
    <row r="1024" spans="1:35" ht="18.75" customHeight="1">
      <c r="A1024" s="168"/>
      <c r="B1024" s="168"/>
      <c r="C1024" s="168"/>
      <c r="D1024" s="111"/>
      <c r="E1024" s="111"/>
      <c r="F1024" s="111"/>
      <c r="G1024" s="111"/>
      <c r="H1024" s="111"/>
      <c r="I1024" s="111"/>
      <c r="J1024" s="111"/>
      <c r="K1024" s="111"/>
      <c r="L1024" s="111"/>
      <c r="M1024" s="111"/>
      <c r="N1024" s="111"/>
      <c r="O1024" s="111"/>
      <c r="P1024" s="111"/>
      <c r="Q1024" s="111"/>
      <c r="R1024" s="111"/>
      <c r="S1024" s="111"/>
      <c r="T1024" s="111"/>
      <c r="U1024" s="111"/>
      <c r="V1024" s="111"/>
      <c r="W1024" s="111"/>
      <c r="X1024" s="111"/>
      <c r="Y1024" s="111"/>
      <c r="Z1024" s="111"/>
      <c r="AA1024" s="111"/>
      <c r="AB1024" s="111"/>
      <c r="AC1024" s="111"/>
      <c r="AD1024" s="111"/>
      <c r="AE1024" s="111"/>
      <c r="AF1024" s="111"/>
      <c r="AG1024" s="111"/>
      <c r="AH1024" s="111"/>
      <c r="AI1024" s="111"/>
    </row>
    <row r="1025" spans="1:35" ht="18.75" customHeight="1">
      <c r="A1025" s="168"/>
      <c r="B1025" s="168"/>
      <c r="C1025" s="168"/>
      <c r="D1025" s="111"/>
      <c r="E1025" s="111"/>
      <c r="F1025" s="111"/>
      <c r="G1025" s="111"/>
      <c r="H1025" s="111"/>
      <c r="I1025" s="111"/>
      <c r="J1025" s="111"/>
      <c r="K1025" s="111"/>
      <c r="L1025" s="111"/>
      <c r="M1025" s="111"/>
      <c r="N1025" s="111"/>
      <c r="O1025" s="111"/>
      <c r="P1025" s="111"/>
      <c r="Q1025" s="111"/>
      <c r="R1025" s="111"/>
      <c r="S1025" s="111"/>
      <c r="T1025" s="111"/>
      <c r="U1025" s="111"/>
      <c r="V1025" s="111"/>
      <c r="W1025" s="111"/>
      <c r="X1025" s="111"/>
      <c r="Y1025" s="111"/>
      <c r="Z1025" s="111"/>
      <c r="AA1025" s="111"/>
      <c r="AB1025" s="111"/>
      <c r="AC1025" s="111"/>
      <c r="AD1025" s="111"/>
      <c r="AE1025" s="111"/>
      <c r="AF1025" s="111"/>
      <c r="AG1025" s="111"/>
      <c r="AH1025" s="111"/>
      <c r="AI1025" s="111"/>
    </row>
    <row r="1026" spans="1:35" ht="18.75" customHeight="1">
      <c r="A1026" s="168"/>
      <c r="B1026" s="168"/>
      <c r="C1026" s="168"/>
      <c r="D1026" s="111"/>
      <c r="E1026" s="111"/>
      <c r="F1026" s="111"/>
      <c r="G1026" s="111"/>
      <c r="H1026" s="111"/>
      <c r="I1026" s="111"/>
      <c r="J1026" s="111"/>
      <c r="K1026" s="111"/>
      <c r="L1026" s="111"/>
      <c r="M1026" s="111"/>
      <c r="N1026" s="111"/>
      <c r="O1026" s="111"/>
      <c r="P1026" s="111"/>
      <c r="Q1026" s="111"/>
      <c r="R1026" s="111"/>
      <c r="S1026" s="111"/>
      <c r="T1026" s="111"/>
      <c r="U1026" s="111"/>
      <c r="V1026" s="111"/>
      <c r="W1026" s="111"/>
      <c r="X1026" s="111"/>
      <c r="Y1026" s="111"/>
      <c r="Z1026" s="111"/>
      <c r="AA1026" s="111"/>
      <c r="AB1026" s="111"/>
      <c r="AC1026" s="111"/>
      <c r="AD1026" s="111"/>
      <c r="AE1026" s="111"/>
      <c r="AF1026" s="111"/>
      <c r="AG1026" s="111"/>
      <c r="AH1026" s="111"/>
      <c r="AI1026" s="111"/>
    </row>
    <row r="1027" spans="1:35" ht="18.75" customHeight="1">
      <c r="A1027" s="168"/>
      <c r="B1027" s="168"/>
      <c r="C1027" s="168"/>
      <c r="D1027" s="111"/>
      <c r="E1027" s="111"/>
      <c r="F1027" s="111"/>
      <c r="G1027" s="111"/>
      <c r="H1027" s="111"/>
      <c r="I1027" s="111"/>
      <c r="J1027" s="111"/>
      <c r="K1027" s="111"/>
      <c r="L1027" s="111"/>
      <c r="M1027" s="111"/>
      <c r="N1027" s="111"/>
      <c r="O1027" s="111"/>
      <c r="P1027" s="111"/>
      <c r="Q1027" s="111"/>
      <c r="R1027" s="111"/>
      <c r="S1027" s="111"/>
      <c r="T1027" s="111"/>
      <c r="U1027" s="111"/>
      <c r="V1027" s="111"/>
      <c r="W1027" s="111"/>
      <c r="X1027" s="111"/>
      <c r="Y1027" s="111"/>
      <c r="Z1027" s="111"/>
      <c r="AA1027" s="111"/>
      <c r="AB1027" s="111"/>
      <c r="AC1027" s="111"/>
      <c r="AD1027" s="111"/>
      <c r="AE1027" s="111"/>
      <c r="AF1027" s="111"/>
      <c r="AG1027" s="111"/>
      <c r="AH1027" s="111"/>
      <c r="AI1027" s="111"/>
    </row>
    <row r="1028" spans="1:35" ht="18.75" customHeight="1">
      <c r="A1028" s="168"/>
      <c r="B1028" s="168"/>
      <c r="C1028" s="168"/>
      <c r="D1028" s="111"/>
      <c r="E1028" s="111"/>
      <c r="F1028" s="111"/>
      <c r="G1028" s="111"/>
      <c r="H1028" s="111"/>
      <c r="I1028" s="111"/>
      <c r="J1028" s="111"/>
      <c r="K1028" s="111"/>
      <c r="L1028" s="111"/>
      <c r="M1028" s="111"/>
      <c r="N1028" s="111"/>
      <c r="O1028" s="111"/>
      <c r="P1028" s="111"/>
      <c r="Q1028" s="111"/>
      <c r="R1028" s="111"/>
      <c r="S1028" s="111"/>
      <c r="T1028" s="111"/>
      <c r="U1028" s="111"/>
      <c r="V1028" s="111"/>
      <c r="W1028" s="111"/>
      <c r="X1028" s="111"/>
      <c r="Y1028" s="111"/>
      <c r="Z1028" s="111"/>
      <c r="AA1028" s="111"/>
      <c r="AB1028" s="111"/>
      <c r="AC1028" s="111"/>
      <c r="AD1028" s="111"/>
      <c r="AE1028" s="111"/>
      <c r="AF1028" s="111"/>
      <c r="AG1028" s="111"/>
      <c r="AH1028" s="111"/>
      <c r="AI1028" s="111"/>
    </row>
    <row r="1029" spans="1:35" ht="18.75" customHeight="1">
      <c r="A1029" s="168"/>
      <c r="B1029" s="168"/>
      <c r="C1029" s="168"/>
      <c r="D1029" s="111"/>
      <c r="E1029" s="111"/>
      <c r="F1029" s="111"/>
      <c r="G1029" s="111"/>
      <c r="H1029" s="111"/>
      <c r="I1029" s="111"/>
      <c r="J1029" s="111"/>
      <c r="K1029" s="111"/>
      <c r="L1029" s="111"/>
      <c r="M1029" s="111"/>
      <c r="N1029" s="111"/>
      <c r="O1029" s="111"/>
      <c r="P1029" s="111"/>
      <c r="Q1029" s="111"/>
      <c r="R1029" s="111"/>
      <c r="S1029" s="111"/>
      <c r="T1029" s="111"/>
      <c r="U1029" s="111"/>
      <c r="V1029" s="111"/>
      <c r="W1029" s="111"/>
      <c r="X1029" s="111"/>
      <c r="Y1029" s="111"/>
      <c r="Z1029" s="111"/>
      <c r="AA1029" s="111"/>
      <c r="AB1029" s="111"/>
      <c r="AC1029" s="111"/>
      <c r="AD1029" s="111"/>
      <c r="AE1029" s="111"/>
      <c r="AF1029" s="111"/>
      <c r="AG1029" s="111"/>
      <c r="AH1029" s="111"/>
      <c r="AI1029" s="111"/>
    </row>
    <row r="1030" spans="1:35" ht="18.75" customHeight="1">
      <c r="A1030" s="168"/>
      <c r="B1030" s="168"/>
      <c r="C1030" s="168"/>
      <c r="D1030" s="111"/>
      <c r="E1030" s="111"/>
      <c r="F1030" s="111"/>
      <c r="G1030" s="111"/>
      <c r="H1030" s="111"/>
      <c r="I1030" s="111"/>
      <c r="J1030" s="111"/>
      <c r="K1030" s="111"/>
      <c r="L1030" s="111"/>
      <c r="M1030" s="111"/>
      <c r="N1030" s="111"/>
      <c r="O1030" s="111"/>
      <c r="P1030" s="111"/>
      <c r="Q1030" s="111"/>
      <c r="R1030" s="111"/>
      <c r="S1030" s="111"/>
      <c r="T1030" s="111"/>
      <c r="U1030" s="111"/>
      <c r="V1030" s="111"/>
      <c r="W1030" s="111"/>
      <c r="X1030" s="111"/>
      <c r="Y1030" s="111"/>
      <c r="Z1030" s="111"/>
      <c r="AA1030" s="111"/>
      <c r="AB1030" s="111"/>
      <c r="AC1030" s="111"/>
      <c r="AD1030" s="111"/>
      <c r="AE1030" s="111"/>
      <c r="AF1030" s="111"/>
      <c r="AG1030" s="111"/>
      <c r="AH1030" s="111"/>
      <c r="AI1030" s="111"/>
    </row>
    <row r="1031" spans="1:35" ht="18.75" customHeight="1">
      <c r="A1031" s="168"/>
      <c r="B1031" s="168"/>
      <c r="C1031" s="168"/>
      <c r="D1031" s="111"/>
      <c r="E1031" s="111"/>
      <c r="F1031" s="111"/>
      <c r="G1031" s="111"/>
      <c r="H1031" s="111"/>
      <c r="I1031" s="111"/>
      <c r="J1031" s="111"/>
      <c r="K1031" s="111"/>
      <c r="L1031" s="111"/>
      <c r="M1031" s="111"/>
      <c r="N1031" s="111"/>
      <c r="O1031" s="111"/>
      <c r="P1031" s="111"/>
      <c r="Q1031" s="111"/>
      <c r="R1031" s="111"/>
      <c r="S1031" s="111"/>
      <c r="T1031" s="111"/>
      <c r="U1031" s="111"/>
      <c r="V1031" s="111"/>
      <c r="W1031" s="111"/>
      <c r="X1031" s="111"/>
      <c r="Y1031" s="111"/>
      <c r="Z1031" s="111"/>
      <c r="AA1031" s="111"/>
      <c r="AB1031" s="111"/>
      <c r="AC1031" s="111"/>
      <c r="AD1031" s="111"/>
      <c r="AE1031" s="111"/>
      <c r="AF1031" s="111"/>
      <c r="AG1031" s="111"/>
      <c r="AH1031" s="111"/>
      <c r="AI1031" s="111"/>
    </row>
    <row r="1032" spans="1:35" ht="18.75" customHeight="1">
      <c r="A1032" s="168"/>
      <c r="B1032" s="168"/>
      <c r="C1032" s="168"/>
      <c r="D1032" s="111"/>
      <c r="E1032" s="111"/>
      <c r="F1032" s="111"/>
      <c r="G1032" s="111"/>
      <c r="H1032" s="111"/>
      <c r="I1032" s="111"/>
      <c r="J1032" s="111"/>
      <c r="K1032" s="111"/>
      <c r="L1032" s="111"/>
      <c r="M1032" s="111"/>
      <c r="N1032" s="111"/>
      <c r="O1032" s="111"/>
      <c r="P1032" s="111"/>
      <c r="Q1032" s="111"/>
      <c r="R1032" s="111"/>
      <c r="S1032" s="111"/>
      <c r="T1032" s="111"/>
      <c r="U1032" s="111"/>
      <c r="V1032" s="111"/>
      <c r="W1032" s="111"/>
      <c r="X1032" s="111"/>
      <c r="Y1032" s="111"/>
      <c r="Z1032" s="111"/>
      <c r="AA1032" s="111"/>
      <c r="AB1032" s="111"/>
      <c r="AC1032" s="111"/>
      <c r="AD1032" s="111"/>
      <c r="AE1032" s="111"/>
      <c r="AF1032" s="111"/>
      <c r="AG1032" s="111"/>
      <c r="AH1032" s="111"/>
      <c r="AI1032" s="111"/>
    </row>
    <row r="1033" spans="1:35" ht="18.75" customHeight="1">
      <c r="A1033" s="168"/>
      <c r="B1033" s="168"/>
      <c r="C1033" s="168"/>
      <c r="D1033" s="111"/>
      <c r="E1033" s="111"/>
      <c r="F1033" s="111"/>
      <c r="G1033" s="111"/>
      <c r="H1033" s="111"/>
      <c r="I1033" s="111"/>
      <c r="J1033" s="111"/>
      <c r="K1033" s="111"/>
      <c r="L1033" s="111"/>
      <c r="M1033" s="111"/>
      <c r="N1033" s="111"/>
      <c r="O1033" s="111"/>
      <c r="P1033" s="111"/>
      <c r="Q1033" s="111"/>
      <c r="R1033" s="111"/>
      <c r="S1033" s="111"/>
      <c r="T1033" s="111"/>
      <c r="U1033" s="111"/>
      <c r="V1033" s="111"/>
      <c r="W1033" s="111"/>
      <c r="X1033" s="111"/>
      <c r="Y1033" s="111"/>
      <c r="Z1033" s="111"/>
      <c r="AA1033" s="111"/>
      <c r="AB1033" s="111"/>
      <c r="AC1033" s="111"/>
      <c r="AD1033" s="111"/>
      <c r="AE1033" s="111"/>
      <c r="AF1033" s="111"/>
      <c r="AG1033" s="111"/>
      <c r="AH1033" s="111"/>
      <c r="AI1033" s="111"/>
    </row>
    <row r="1034" spans="1:35" ht="18.75" customHeight="1">
      <c r="A1034" s="168"/>
      <c r="B1034" s="168"/>
      <c r="C1034" s="168"/>
      <c r="D1034" s="111"/>
      <c r="E1034" s="111"/>
      <c r="F1034" s="111"/>
      <c r="G1034" s="111"/>
      <c r="H1034" s="111"/>
      <c r="I1034" s="111"/>
      <c r="J1034" s="111"/>
      <c r="K1034" s="111"/>
      <c r="L1034" s="111"/>
      <c r="M1034" s="111"/>
      <c r="N1034" s="111"/>
      <c r="O1034" s="111"/>
      <c r="P1034" s="111"/>
      <c r="Q1034" s="111"/>
      <c r="R1034" s="111"/>
      <c r="S1034" s="111"/>
      <c r="T1034" s="111"/>
      <c r="U1034" s="111"/>
      <c r="V1034" s="111"/>
      <c r="W1034" s="111"/>
      <c r="X1034" s="111"/>
      <c r="Y1034" s="111"/>
      <c r="Z1034" s="111"/>
      <c r="AA1034" s="111"/>
      <c r="AB1034" s="111"/>
      <c r="AC1034" s="111"/>
      <c r="AD1034" s="111"/>
      <c r="AE1034" s="111"/>
      <c r="AF1034" s="111"/>
      <c r="AG1034" s="111"/>
      <c r="AH1034" s="111"/>
      <c r="AI1034" s="111"/>
    </row>
    <row r="1035" spans="1:35" ht="18.75" customHeight="1">
      <c r="A1035" s="168"/>
      <c r="B1035" s="168"/>
      <c r="C1035" s="168"/>
      <c r="D1035" s="111"/>
      <c r="E1035" s="111"/>
      <c r="F1035" s="111"/>
      <c r="G1035" s="111"/>
      <c r="H1035" s="111"/>
      <c r="I1035" s="111"/>
      <c r="J1035" s="111"/>
      <c r="K1035" s="111"/>
      <c r="L1035" s="111"/>
      <c r="M1035" s="111"/>
      <c r="N1035" s="111"/>
      <c r="O1035" s="111"/>
      <c r="P1035" s="111"/>
      <c r="Q1035" s="111"/>
      <c r="R1035" s="111"/>
      <c r="S1035" s="111"/>
      <c r="T1035" s="111"/>
      <c r="U1035" s="111"/>
      <c r="V1035" s="111"/>
      <c r="W1035" s="111"/>
      <c r="X1035" s="111"/>
      <c r="Y1035" s="111"/>
      <c r="Z1035" s="111"/>
      <c r="AA1035" s="111"/>
      <c r="AB1035" s="111"/>
      <c r="AC1035" s="111"/>
      <c r="AD1035" s="111"/>
      <c r="AE1035" s="111"/>
      <c r="AF1035" s="111"/>
      <c r="AG1035" s="111"/>
      <c r="AH1035" s="111"/>
      <c r="AI1035" s="111"/>
    </row>
    <row r="1036" spans="1:35" ht="18.75" customHeight="1">
      <c r="A1036" s="168"/>
      <c r="B1036" s="168"/>
      <c r="C1036" s="168"/>
      <c r="D1036" s="111"/>
      <c r="E1036" s="111"/>
      <c r="F1036" s="111"/>
      <c r="G1036" s="111"/>
      <c r="H1036" s="111"/>
      <c r="I1036" s="111"/>
      <c r="J1036" s="111"/>
      <c r="K1036" s="111"/>
      <c r="L1036" s="111"/>
      <c r="M1036" s="111"/>
      <c r="N1036" s="111"/>
      <c r="O1036" s="111"/>
      <c r="P1036" s="111"/>
      <c r="Q1036" s="111"/>
      <c r="R1036" s="111"/>
      <c r="S1036" s="111"/>
      <c r="T1036" s="111"/>
      <c r="U1036" s="111"/>
      <c r="V1036" s="111"/>
      <c r="W1036" s="111"/>
      <c r="X1036" s="111"/>
      <c r="Y1036" s="111"/>
      <c r="Z1036" s="111"/>
      <c r="AA1036" s="111"/>
      <c r="AB1036" s="111"/>
      <c r="AC1036" s="111"/>
      <c r="AD1036" s="111"/>
      <c r="AE1036" s="111"/>
      <c r="AF1036" s="111"/>
      <c r="AG1036" s="111"/>
      <c r="AH1036" s="111"/>
      <c r="AI1036" s="111"/>
    </row>
    <row r="1037" spans="1:35" ht="18.75" customHeight="1">
      <c r="A1037" s="168"/>
      <c r="B1037" s="168"/>
      <c r="C1037" s="168"/>
      <c r="D1037" s="111"/>
      <c r="E1037" s="111"/>
      <c r="F1037" s="111"/>
      <c r="G1037" s="111"/>
      <c r="H1037" s="111"/>
      <c r="I1037" s="111"/>
      <c r="J1037" s="111"/>
      <c r="K1037" s="111"/>
      <c r="L1037" s="111"/>
      <c r="M1037" s="111"/>
      <c r="N1037" s="111"/>
      <c r="O1037" s="111"/>
      <c r="P1037" s="111"/>
      <c r="Q1037" s="111"/>
      <c r="R1037" s="111"/>
      <c r="S1037" s="111"/>
      <c r="T1037" s="111"/>
      <c r="U1037" s="111"/>
      <c r="V1037" s="111"/>
      <c r="W1037" s="111"/>
      <c r="X1037" s="111"/>
      <c r="Y1037" s="111"/>
      <c r="Z1037" s="111"/>
      <c r="AA1037" s="111"/>
      <c r="AB1037" s="111"/>
      <c r="AC1037" s="111"/>
      <c r="AD1037" s="111"/>
      <c r="AE1037" s="111"/>
      <c r="AF1037" s="111"/>
      <c r="AG1037" s="111"/>
      <c r="AH1037" s="111"/>
      <c r="AI1037" s="111"/>
    </row>
    <row r="1038" spans="1:35" ht="18.75" customHeight="1">
      <c r="A1038" s="168"/>
      <c r="B1038" s="168"/>
      <c r="C1038" s="168"/>
      <c r="D1038" s="111"/>
      <c r="E1038" s="111"/>
      <c r="F1038" s="111"/>
      <c r="G1038" s="111"/>
      <c r="H1038" s="111"/>
      <c r="I1038" s="111"/>
      <c r="J1038" s="111"/>
      <c r="K1038" s="111"/>
      <c r="L1038" s="111"/>
      <c r="M1038" s="111"/>
      <c r="N1038" s="111"/>
      <c r="O1038" s="111"/>
      <c r="P1038" s="111"/>
      <c r="Q1038" s="111"/>
      <c r="R1038" s="111"/>
      <c r="S1038" s="111"/>
      <c r="T1038" s="111"/>
      <c r="U1038" s="111"/>
      <c r="V1038" s="111"/>
      <c r="W1038" s="111"/>
      <c r="X1038" s="111"/>
      <c r="Y1038" s="111"/>
      <c r="Z1038" s="111"/>
      <c r="AA1038" s="111"/>
      <c r="AB1038" s="111"/>
      <c r="AC1038" s="111"/>
      <c r="AD1038" s="111"/>
      <c r="AE1038" s="111"/>
      <c r="AF1038" s="111"/>
      <c r="AG1038" s="111"/>
      <c r="AH1038" s="111"/>
      <c r="AI1038" s="111"/>
    </row>
    <row r="1039" spans="1:35" ht="18.75" customHeight="1">
      <c r="A1039" s="168"/>
      <c r="B1039" s="168"/>
      <c r="C1039" s="168"/>
      <c r="D1039" s="111"/>
      <c r="E1039" s="111"/>
      <c r="F1039" s="111"/>
      <c r="G1039" s="111"/>
      <c r="H1039" s="111"/>
      <c r="I1039" s="111"/>
      <c r="J1039" s="111"/>
      <c r="K1039" s="111"/>
      <c r="L1039" s="111"/>
      <c r="M1039" s="111"/>
      <c r="N1039" s="111"/>
      <c r="O1039" s="111"/>
      <c r="P1039" s="111"/>
      <c r="Q1039" s="111"/>
      <c r="R1039" s="111"/>
      <c r="S1039" s="111"/>
      <c r="T1039" s="111"/>
      <c r="U1039" s="111"/>
      <c r="V1039" s="111"/>
      <c r="W1039" s="111"/>
      <c r="X1039" s="111"/>
      <c r="Y1039" s="111"/>
      <c r="Z1039" s="111"/>
      <c r="AA1039" s="111"/>
      <c r="AB1039" s="111"/>
      <c r="AC1039" s="111"/>
      <c r="AD1039" s="111"/>
      <c r="AE1039" s="111"/>
      <c r="AF1039" s="111"/>
      <c r="AG1039" s="111"/>
      <c r="AH1039" s="111"/>
      <c r="AI1039" s="111"/>
    </row>
    <row r="1040" spans="1:35" ht="18.75" customHeight="1">
      <c r="A1040" s="168"/>
      <c r="B1040" s="168"/>
      <c r="C1040" s="168"/>
      <c r="D1040" s="111"/>
      <c r="E1040" s="111"/>
      <c r="F1040" s="111"/>
      <c r="G1040" s="111"/>
      <c r="H1040" s="111"/>
      <c r="I1040" s="111"/>
      <c r="J1040" s="111"/>
      <c r="K1040" s="111"/>
      <c r="L1040" s="111"/>
      <c r="M1040" s="111"/>
      <c r="N1040" s="111"/>
      <c r="O1040" s="111"/>
      <c r="P1040" s="111"/>
      <c r="Q1040" s="111"/>
      <c r="R1040" s="111"/>
      <c r="S1040" s="111"/>
      <c r="T1040" s="111"/>
      <c r="U1040" s="111"/>
      <c r="V1040" s="111"/>
      <c r="W1040" s="111"/>
      <c r="X1040" s="111"/>
      <c r="Y1040" s="111"/>
      <c r="Z1040" s="111"/>
      <c r="AA1040" s="111"/>
      <c r="AB1040" s="111"/>
      <c r="AC1040" s="111"/>
      <c r="AD1040" s="111"/>
      <c r="AE1040" s="111"/>
      <c r="AF1040" s="111"/>
      <c r="AG1040" s="111"/>
      <c r="AH1040" s="111"/>
      <c r="AI1040" s="111"/>
    </row>
    <row r="1041" spans="1:35" ht="18.75" customHeight="1">
      <c r="A1041" s="168"/>
      <c r="B1041" s="168"/>
      <c r="C1041" s="168"/>
      <c r="D1041" s="111"/>
      <c r="E1041" s="111"/>
      <c r="F1041" s="111"/>
      <c r="G1041" s="111"/>
      <c r="H1041" s="111"/>
      <c r="I1041" s="111"/>
      <c r="J1041" s="111"/>
      <c r="K1041" s="111"/>
      <c r="L1041" s="111"/>
      <c r="M1041" s="111"/>
      <c r="N1041" s="111"/>
      <c r="O1041" s="111"/>
      <c r="P1041" s="111"/>
      <c r="Q1041" s="111"/>
      <c r="R1041" s="111"/>
      <c r="S1041" s="111"/>
      <c r="T1041" s="111"/>
      <c r="U1041" s="111"/>
      <c r="V1041" s="111"/>
      <c r="W1041" s="111"/>
      <c r="X1041" s="111"/>
      <c r="Y1041" s="111"/>
      <c r="Z1041" s="111"/>
      <c r="AA1041" s="111"/>
      <c r="AB1041" s="111"/>
      <c r="AC1041" s="111"/>
      <c r="AD1041" s="111"/>
      <c r="AE1041" s="111"/>
      <c r="AF1041" s="111"/>
      <c r="AG1041" s="111"/>
      <c r="AH1041" s="111"/>
      <c r="AI1041" s="111"/>
    </row>
    <row r="1042" spans="1:35" ht="18.75" customHeight="1">
      <c r="A1042" s="168"/>
      <c r="B1042" s="168"/>
      <c r="C1042" s="168"/>
      <c r="D1042" s="111"/>
      <c r="E1042" s="111"/>
      <c r="F1042" s="111"/>
      <c r="G1042" s="111"/>
      <c r="H1042" s="111"/>
      <c r="I1042" s="111"/>
      <c r="J1042" s="111"/>
      <c r="K1042" s="111"/>
      <c r="L1042" s="111"/>
      <c r="M1042" s="111"/>
      <c r="N1042" s="111"/>
      <c r="O1042" s="111"/>
      <c r="P1042" s="111"/>
      <c r="Q1042" s="111"/>
      <c r="R1042" s="111"/>
      <c r="S1042" s="111"/>
      <c r="T1042" s="111"/>
      <c r="U1042" s="111"/>
      <c r="V1042" s="111"/>
      <c r="W1042" s="111"/>
      <c r="X1042" s="111"/>
      <c r="Y1042" s="111"/>
      <c r="Z1042" s="111"/>
      <c r="AA1042" s="111"/>
      <c r="AB1042" s="111"/>
      <c r="AC1042" s="111"/>
      <c r="AD1042" s="111"/>
      <c r="AE1042" s="111"/>
      <c r="AF1042" s="111"/>
      <c r="AG1042" s="111"/>
      <c r="AH1042" s="111"/>
      <c r="AI1042" s="111"/>
    </row>
    <row r="1043" spans="1:35" ht="18.75" customHeight="1">
      <c r="A1043" s="168"/>
      <c r="B1043" s="168"/>
      <c r="C1043" s="168"/>
      <c r="D1043" s="111"/>
      <c r="E1043" s="111"/>
      <c r="F1043" s="111"/>
      <c r="G1043" s="111"/>
      <c r="H1043" s="111"/>
      <c r="I1043" s="111"/>
      <c r="J1043" s="111"/>
      <c r="K1043" s="111"/>
      <c r="L1043" s="111"/>
      <c r="M1043" s="111"/>
      <c r="N1043" s="111"/>
      <c r="O1043" s="111"/>
      <c r="P1043" s="111"/>
      <c r="Q1043" s="111"/>
      <c r="R1043" s="111"/>
      <c r="S1043" s="111"/>
      <c r="T1043" s="111"/>
      <c r="U1043" s="111"/>
      <c r="V1043" s="111"/>
      <c r="W1043" s="111"/>
      <c r="X1043" s="111"/>
      <c r="Y1043" s="111"/>
      <c r="Z1043" s="111"/>
      <c r="AA1043" s="111"/>
      <c r="AB1043" s="111"/>
      <c r="AC1043" s="111"/>
      <c r="AD1043" s="111"/>
      <c r="AE1043" s="111"/>
      <c r="AF1043" s="111"/>
      <c r="AG1043" s="111"/>
      <c r="AH1043" s="111"/>
      <c r="AI1043" s="111"/>
    </row>
    <row r="1044" spans="1:35" ht="18.75" customHeight="1">
      <c r="A1044" s="168"/>
      <c r="B1044" s="168"/>
      <c r="C1044" s="168"/>
      <c r="D1044" s="111"/>
      <c r="E1044" s="111"/>
      <c r="F1044" s="111"/>
      <c r="G1044" s="111"/>
      <c r="H1044" s="111"/>
      <c r="I1044" s="111"/>
      <c r="J1044" s="111"/>
      <c r="K1044" s="111"/>
      <c r="L1044" s="111"/>
      <c r="M1044" s="111"/>
      <c r="N1044" s="111"/>
      <c r="O1044" s="111"/>
      <c r="P1044" s="111"/>
      <c r="Q1044" s="111"/>
      <c r="R1044" s="111"/>
      <c r="S1044" s="111"/>
      <c r="T1044" s="111"/>
      <c r="U1044" s="111"/>
      <c r="V1044" s="111"/>
      <c r="W1044" s="111"/>
      <c r="X1044" s="111"/>
      <c r="Y1044" s="111"/>
      <c r="Z1044" s="111"/>
      <c r="AA1044" s="111"/>
      <c r="AB1044" s="111"/>
      <c r="AC1044" s="111"/>
      <c r="AD1044" s="111"/>
      <c r="AE1044" s="111"/>
      <c r="AF1044" s="111"/>
      <c r="AG1044" s="111"/>
      <c r="AH1044" s="111"/>
      <c r="AI1044" s="111"/>
    </row>
    <row r="1045" spans="1:35" ht="18.75" customHeight="1">
      <c r="A1045" s="168"/>
      <c r="B1045" s="168"/>
      <c r="C1045" s="168"/>
      <c r="D1045" s="111"/>
      <c r="E1045" s="111"/>
      <c r="F1045" s="111"/>
      <c r="G1045" s="111"/>
      <c r="H1045" s="111"/>
      <c r="I1045" s="111"/>
      <c r="J1045" s="111"/>
      <c r="K1045" s="111"/>
      <c r="L1045" s="111"/>
      <c r="M1045" s="111"/>
      <c r="N1045" s="111"/>
      <c r="O1045" s="111"/>
      <c r="P1045" s="111"/>
      <c r="Q1045" s="111"/>
      <c r="R1045" s="111"/>
      <c r="S1045" s="111"/>
      <c r="T1045" s="111"/>
      <c r="U1045" s="111"/>
      <c r="V1045" s="111"/>
      <c r="W1045" s="111"/>
      <c r="X1045" s="111"/>
      <c r="Y1045" s="111"/>
      <c r="Z1045" s="111"/>
      <c r="AA1045" s="111"/>
      <c r="AB1045" s="111"/>
      <c r="AC1045" s="111"/>
      <c r="AD1045" s="111"/>
      <c r="AE1045" s="111"/>
      <c r="AF1045" s="111"/>
      <c r="AG1045" s="111"/>
      <c r="AH1045" s="111"/>
      <c r="AI1045" s="111"/>
    </row>
    <row r="1046" spans="1:35" ht="18.75" customHeight="1">
      <c r="A1046" s="168"/>
      <c r="B1046" s="168"/>
      <c r="C1046" s="168"/>
      <c r="D1046" s="111"/>
      <c r="E1046" s="111"/>
      <c r="F1046" s="111"/>
      <c r="G1046" s="111"/>
      <c r="H1046" s="111"/>
      <c r="I1046" s="111"/>
      <c r="J1046" s="111"/>
      <c r="K1046" s="111"/>
      <c r="L1046" s="111"/>
      <c r="M1046" s="111"/>
      <c r="N1046" s="111"/>
      <c r="O1046" s="111"/>
      <c r="P1046" s="111"/>
      <c r="Q1046" s="111"/>
      <c r="R1046" s="111"/>
      <c r="S1046" s="111"/>
      <c r="T1046" s="111"/>
      <c r="U1046" s="111"/>
      <c r="V1046" s="111"/>
      <c r="W1046" s="111"/>
      <c r="X1046" s="111"/>
      <c r="Y1046" s="111"/>
      <c r="Z1046" s="111"/>
      <c r="AA1046" s="111"/>
      <c r="AB1046" s="111"/>
      <c r="AC1046" s="111"/>
      <c r="AD1046" s="111"/>
      <c r="AE1046" s="111"/>
      <c r="AF1046" s="111"/>
      <c r="AG1046" s="111"/>
      <c r="AH1046" s="111"/>
      <c r="AI1046" s="111"/>
    </row>
    <row r="1047" spans="1:35" ht="18.75" customHeight="1">
      <c r="A1047" s="168"/>
      <c r="B1047" s="168"/>
      <c r="C1047" s="168"/>
      <c r="D1047" s="111"/>
      <c r="E1047" s="111"/>
      <c r="F1047" s="111"/>
      <c r="G1047" s="111"/>
      <c r="H1047" s="111"/>
      <c r="I1047" s="111"/>
      <c r="J1047" s="111"/>
      <c r="K1047" s="111"/>
      <c r="L1047" s="111"/>
      <c r="M1047" s="111"/>
      <c r="N1047" s="111"/>
      <c r="O1047" s="111"/>
      <c r="P1047" s="111"/>
      <c r="Q1047" s="111"/>
      <c r="R1047" s="111"/>
      <c r="S1047" s="111"/>
      <c r="T1047" s="111"/>
      <c r="U1047" s="111"/>
      <c r="V1047" s="111"/>
      <c r="W1047" s="111"/>
      <c r="X1047" s="111"/>
      <c r="Y1047" s="111"/>
      <c r="Z1047" s="111"/>
      <c r="AA1047" s="111"/>
      <c r="AB1047" s="111"/>
      <c r="AC1047" s="111"/>
      <c r="AD1047" s="111"/>
      <c r="AE1047" s="111"/>
      <c r="AF1047" s="111"/>
      <c r="AG1047" s="111"/>
      <c r="AH1047" s="111"/>
      <c r="AI1047" s="111"/>
    </row>
    <row r="1048" spans="1:35" ht="18.75" customHeight="1">
      <c r="A1048" s="168"/>
      <c r="B1048" s="168"/>
      <c r="C1048" s="168"/>
      <c r="D1048" s="111"/>
      <c r="E1048" s="111"/>
      <c r="F1048" s="111"/>
      <c r="G1048" s="111"/>
      <c r="H1048" s="111"/>
      <c r="I1048" s="111"/>
      <c r="J1048" s="111"/>
      <c r="K1048" s="111"/>
      <c r="L1048" s="111"/>
      <c r="M1048" s="111"/>
      <c r="N1048" s="111"/>
      <c r="O1048" s="111"/>
      <c r="P1048" s="111"/>
      <c r="Q1048" s="111"/>
      <c r="R1048" s="111"/>
      <c r="S1048" s="111"/>
      <c r="T1048" s="111"/>
      <c r="U1048" s="111"/>
      <c r="V1048" s="111"/>
      <c r="W1048" s="111"/>
      <c r="X1048" s="111"/>
      <c r="Y1048" s="111"/>
      <c r="Z1048" s="111"/>
      <c r="AA1048" s="111"/>
      <c r="AB1048" s="111"/>
      <c r="AC1048" s="111"/>
      <c r="AD1048" s="111"/>
      <c r="AE1048" s="111"/>
      <c r="AF1048" s="111"/>
      <c r="AG1048" s="111"/>
      <c r="AH1048" s="111"/>
      <c r="AI1048" s="111"/>
    </row>
    <row r="1049" spans="1:35" ht="18.75" customHeight="1">
      <c r="A1049" s="168"/>
      <c r="B1049" s="168"/>
      <c r="C1049" s="168"/>
      <c r="D1049" s="111"/>
      <c r="E1049" s="111"/>
      <c r="F1049" s="111"/>
      <c r="G1049" s="111"/>
      <c r="H1049" s="111"/>
      <c r="I1049" s="111"/>
      <c r="J1049" s="111"/>
      <c r="K1049" s="111"/>
      <c r="L1049" s="111"/>
      <c r="M1049" s="111"/>
      <c r="N1049" s="111"/>
      <c r="O1049" s="111"/>
      <c r="P1049" s="111"/>
      <c r="Q1049" s="111"/>
      <c r="R1049" s="111"/>
      <c r="S1049" s="111"/>
      <c r="T1049" s="111"/>
      <c r="U1049" s="111"/>
      <c r="V1049" s="111"/>
      <c r="W1049" s="111"/>
      <c r="X1049" s="111"/>
      <c r="Y1049" s="111"/>
      <c r="Z1049" s="111"/>
      <c r="AA1049" s="111"/>
      <c r="AB1049" s="111"/>
      <c r="AC1049" s="111"/>
      <c r="AD1049" s="111"/>
      <c r="AE1049" s="111"/>
      <c r="AF1049" s="111"/>
      <c r="AG1049" s="111"/>
      <c r="AH1049" s="111"/>
      <c r="AI1049" s="111"/>
    </row>
    <row r="1050" spans="1:35" ht="18.75" customHeight="1">
      <c r="A1050" s="168"/>
      <c r="B1050" s="168"/>
      <c r="C1050" s="168"/>
      <c r="D1050" s="111"/>
      <c r="E1050" s="111"/>
      <c r="F1050" s="111"/>
      <c r="G1050" s="111"/>
      <c r="H1050" s="111"/>
      <c r="I1050" s="111"/>
      <c r="J1050" s="111"/>
      <c r="K1050" s="111"/>
      <c r="L1050" s="111"/>
      <c r="M1050" s="111"/>
      <c r="N1050" s="111"/>
      <c r="O1050" s="111"/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/>
      <c r="AB1050" s="111"/>
      <c r="AC1050" s="111"/>
      <c r="AD1050" s="111"/>
      <c r="AE1050" s="111"/>
      <c r="AF1050" s="111"/>
      <c r="AG1050" s="111"/>
      <c r="AH1050" s="111"/>
      <c r="AI1050" s="111"/>
    </row>
    <row r="1051" spans="1:35" ht="18.75" customHeight="1">
      <c r="A1051" s="168"/>
      <c r="B1051" s="168"/>
      <c r="C1051" s="168"/>
      <c r="D1051" s="111"/>
      <c r="E1051" s="111"/>
      <c r="F1051" s="111"/>
      <c r="G1051" s="111"/>
      <c r="H1051" s="111"/>
      <c r="I1051" s="111"/>
      <c r="J1051" s="111"/>
      <c r="K1051" s="111"/>
      <c r="L1051" s="111"/>
      <c r="M1051" s="111"/>
      <c r="N1051" s="111"/>
      <c r="O1051" s="111"/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/>
      <c r="AB1051" s="111"/>
      <c r="AC1051" s="111"/>
      <c r="AD1051" s="111"/>
      <c r="AE1051" s="111"/>
      <c r="AF1051" s="111"/>
      <c r="AG1051" s="111"/>
      <c r="AH1051" s="111"/>
      <c r="AI1051" s="111"/>
    </row>
    <row r="1052" spans="1:35" ht="18.75" customHeight="1">
      <c r="A1052" s="168"/>
      <c r="B1052" s="168"/>
      <c r="C1052" s="168"/>
      <c r="D1052" s="111"/>
      <c r="E1052" s="111"/>
      <c r="F1052" s="111"/>
      <c r="G1052" s="111"/>
      <c r="H1052" s="111"/>
      <c r="I1052" s="111"/>
      <c r="J1052" s="111"/>
      <c r="K1052" s="111"/>
      <c r="L1052" s="111"/>
      <c r="M1052" s="111"/>
      <c r="N1052" s="111"/>
      <c r="O1052" s="111"/>
      <c r="P1052" s="111"/>
      <c r="Q1052" s="111"/>
      <c r="R1052" s="111"/>
      <c r="S1052" s="111"/>
      <c r="T1052" s="111"/>
      <c r="U1052" s="111"/>
      <c r="V1052" s="111"/>
      <c r="W1052" s="111"/>
      <c r="X1052" s="111"/>
      <c r="Y1052" s="111"/>
      <c r="Z1052" s="111"/>
      <c r="AA1052" s="111"/>
      <c r="AB1052" s="111"/>
      <c r="AC1052" s="111"/>
      <c r="AD1052" s="111"/>
      <c r="AE1052" s="111"/>
      <c r="AF1052" s="111"/>
      <c r="AG1052" s="111"/>
      <c r="AH1052" s="111"/>
      <c r="AI1052" s="111"/>
    </row>
    <row r="1053" spans="1:35" ht="18.75" customHeight="1">
      <c r="A1053" s="168"/>
      <c r="B1053" s="168"/>
      <c r="C1053" s="168"/>
      <c r="D1053" s="111"/>
      <c r="E1053" s="111"/>
      <c r="F1053" s="111"/>
      <c r="G1053" s="111"/>
      <c r="H1053" s="111"/>
      <c r="I1053" s="111"/>
      <c r="J1053" s="111"/>
      <c r="K1053" s="111"/>
      <c r="L1053" s="111"/>
      <c r="M1053" s="111"/>
      <c r="N1053" s="111"/>
      <c r="O1053" s="111"/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/>
      <c r="AB1053" s="111"/>
      <c r="AC1053" s="111"/>
      <c r="AD1053" s="111"/>
      <c r="AE1053" s="111"/>
      <c r="AF1053" s="111"/>
      <c r="AG1053" s="111"/>
      <c r="AH1053" s="111"/>
      <c r="AI1053" s="111"/>
    </row>
    <row r="1054" spans="1:35" ht="18.75" customHeight="1">
      <c r="A1054" s="168"/>
      <c r="B1054" s="168"/>
      <c r="C1054" s="168"/>
      <c r="D1054" s="111"/>
      <c r="E1054" s="111"/>
      <c r="F1054" s="111"/>
      <c r="G1054" s="111"/>
      <c r="H1054" s="111"/>
      <c r="I1054" s="111"/>
      <c r="J1054" s="111"/>
      <c r="K1054" s="111"/>
      <c r="L1054" s="111"/>
      <c r="M1054" s="111"/>
      <c r="N1054" s="111"/>
      <c r="O1054" s="111"/>
      <c r="P1054" s="111"/>
      <c r="Q1054" s="111"/>
      <c r="R1054" s="111"/>
      <c r="S1054" s="111"/>
      <c r="T1054" s="111"/>
      <c r="U1054" s="111"/>
      <c r="V1054" s="111"/>
      <c r="W1054" s="111"/>
      <c r="X1054" s="111"/>
      <c r="Y1054" s="111"/>
      <c r="Z1054" s="111"/>
      <c r="AA1054" s="111"/>
      <c r="AB1054" s="111"/>
      <c r="AC1054" s="111"/>
      <c r="AD1054" s="111"/>
      <c r="AE1054" s="111"/>
      <c r="AF1054" s="111"/>
      <c r="AG1054" s="111"/>
      <c r="AH1054" s="111"/>
      <c r="AI1054" s="111"/>
    </row>
    <row r="1055" spans="1:35" ht="18.75" customHeight="1">
      <c r="A1055" s="168"/>
      <c r="B1055" s="168"/>
      <c r="C1055" s="168"/>
      <c r="D1055" s="111"/>
      <c r="E1055" s="111"/>
      <c r="F1055" s="111"/>
      <c r="G1055" s="111"/>
      <c r="H1055" s="111"/>
      <c r="I1055" s="111"/>
      <c r="J1055" s="111"/>
      <c r="K1055" s="111"/>
      <c r="L1055" s="111"/>
      <c r="M1055" s="111"/>
      <c r="N1055" s="111"/>
      <c r="O1055" s="111"/>
      <c r="P1055" s="111"/>
      <c r="Q1055" s="111"/>
      <c r="R1055" s="111"/>
      <c r="S1055" s="111"/>
      <c r="T1055" s="111"/>
      <c r="U1055" s="111"/>
      <c r="V1055" s="111"/>
      <c r="W1055" s="111"/>
      <c r="X1055" s="111"/>
      <c r="Y1055" s="111"/>
      <c r="Z1055" s="111"/>
      <c r="AA1055" s="111"/>
      <c r="AB1055" s="111"/>
      <c r="AC1055" s="111"/>
      <c r="AD1055" s="111"/>
      <c r="AE1055" s="111"/>
      <c r="AF1055" s="111"/>
      <c r="AG1055" s="111"/>
      <c r="AH1055" s="111"/>
      <c r="AI1055" s="111"/>
    </row>
    <row r="1056" spans="1:35" ht="18.75" customHeight="1">
      <c r="A1056" s="168"/>
      <c r="B1056" s="168"/>
      <c r="C1056" s="168"/>
      <c r="D1056" s="111"/>
      <c r="E1056" s="111"/>
      <c r="F1056" s="111"/>
      <c r="G1056" s="111"/>
      <c r="H1056" s="111"/>
      <c r="I1056" s="111"/>
      <c r="J1056" s="111"/>
      <c r="K1056" s="111"/>
      <c r="L1056" s="111"/>
      <c r="M1056" s="111"/>
      <c r="N1056" s="111"/>
      <c r="O1056" s="111"/>
      <c r="P1056" s="111"/>
      <c r="Q1056" s="111"/>
      <c r="R1056" s="111"/>
      <c r="S1056" s="111"/>
      <c r="T1056" s="111"/>
      <c r="U1056" s="111"/>
      <c r="V1056" s="111"/>
      <c r="W1056" s="111"/>
      <c r="X1056" s="111"/>
      <c r="Y1056" s="111"/>
      <c r="Z1056" s="111"/>
      <c r="AA1056" s="111"/>
      <c r="AB1056" s="111"/>
      <c r="AC1056" s="111"/>
      <c r="AD1056" s="111"/>
      <c r="AE1056" s="111"/>
      <c r="AF1056" s="111"/>
      <c r="AG1056" s="111"/>
      <c r="AH1056" s="111"/>
      <c r="AI1056" s="111"/>
    </row>
    <row r="1057" spans="1:35" ht="18.75" customHeight="1">
      <c r="A1057" s="168"/>
      <c r="B1057" s="168"/>
      <c r="C1057" s="168"/>
      <c r="D1057" s="111"/>
      <c r="E1057" s="111"/>
      <c r="F1057" s="111"/>
      <c r="G1057" s="111"/>
      <c r="H1057" s="111"/>
      <c r="I1057" s="111"/>
      <c r="J1057" s="111"/>
      <c r="K1057" s="111"/>
      <c r="L1057" s="111"/>
      <c r="M1057" s="111"/>
      <c r="N1057" s="111"/>
      <c r="O1057" s="111"/>
      <c r="P1057" s="111"/>
      <c r="Q1057" s="111"/>
      <c r="R1057" s="111"/>
      <c r="S1057" s="111"/>
      <c r="T1057" s="111"/>
      <c r="U1057" s="111"/>
      <c r="V1057" s="111"/>
      <c r="W1057" s="111"/>
      <c r="X1057" s="111"/>
      <c r="Y1057" s="111"/>
      <c r="Z1057" s="111"/>
      <c r="AA1057" s="111"/>
      <c r="AB1057" s="111"/>
      <c r="AC1057" s="111"/>
      <c r="AD1057" s="111"/>
      <c r="AE1057" s="111"/>
      <c r="AF1057" s="111"/>
      <c r="AG1057" s="111"/>
      <c r="AH1057" s="111"/>
      <c r="AI1057" s="111"/>
    </row>
    <row r="1058" spans="1:35" ht="18.75" customHeight="1">
      <c r="A1058" s="168"/>
      <c r="B1058" s="168"/>
      <c r="C1058" s="168"/>
      <c r="D1058" s="111"/>
      <c r="E1058" s="111"/>
      <c r="F1058" s="111"/>
      <c r="G1058" s="111"/>
      <c r="H1058" s="111"/>
      <c r="I1058" s="111"/>
      <c r="J1058" s="111"/>
      <c r="K1058" s="111"/>
      <c r="L1058" s="111"/>
      <c r="M1058" s="111"/>
      <c r="N1058" s="111"/>
      <c r="O1058" s="111"/>
      <c r="P1058" s="111"/>
      <c r="Q1058" s="111"/>
      <c r="R1058" s="111"/>
      <c r="S1058" s="111"/>
      <c r="T1058" s="111"/>
      <c r="U1058" s="111"/>
      <c r="V1058" s="111"/>
      <c r="W1058" s="111"/>
      <c r="X1058" s="111"/>
      <c r="Y1058" s="111"/>
      <c r="Z1058" s="111"/>
      <c r="AA1058" s="111"/>
      <c r="AB1058" s="111"/>
      <c r="AC1058" s="111"/>
      <c r="AD1058" s="111"/>
      <c r="AE1058" s="111"/>
      <c r="AF1058" s="111"/>
      <c r="AG1058" s="111"/>
      <c r="AH1058" s="111"/>
      <c r="AI1058" s="111"/>
    </row>
    <row r="1059" spans="1:35" ht="18.75" customHeight="1">
      <c r="A1059" s="168"/>
      <c r="B1059" s="168"/>
      <c r="C1059" s="168"/>
      <c r="D1059" s="111"/>
      <c r="E1059" s="111"/>
      <c r="F1059" s="111"/>
      <c r="G1059" s="111"/>
      <c r="H1059" s="111"/>
      <c r="I1059" s="111"/>
      <c r="J1059" s="111"/>
      <c r="K1059" s="111"/>
      <c r="L1059" s="111"/>
      <c r="M1059" s="111"/>
      <c r="N1059" s="111"/>
      <c r="O1059" s="111"/>
      <c r="P1059" s="111"/>
      <c r="Q1059" s="111"/>
      <c r="R1059" s="111"/>
      <c r="S1059" s="111"/>
      <c r="T1059" s="111"/>
      <c r="U1059" s="111"/>
      <c r="V1059" s="111"/>
      <c r="W1059" s="111"/>
      <c r="X1059" s="111"/>
      <c r="Y1059" s="111"/>
      <c r="Z1059" s="111"/>
      <c r="AA1059" s="111"/>
      <c r="AB1059" s="111"/>
      <c r="AC1059" s="111"/>
      <c r="AD1059" s="111"/>
      <c r="AE1059" s="111"/>
      <c r="AF1059" s="111"/>
      <c r="AG1059" s="111"/>
      <c r="AH1059" s="111"/>
      <c r="AI1059" s="111"/>
    </row>
    <row r="1060" spans="1:35" ht="18.75" customHeight="1">
      <c r="A1060" s="168"/>
      <c r="B1060" s="168"/>
      <c r="C1060" s="168"/>
      <c r="D1060" s="111"/>
      <c r="E1060" s="111"/>
      <c r="F1060" s="111"/>
      <c r="G1060" s="111"/>
      <c r="H1060" s="111"/>
      <c r="I1060" s="111"/>
      <c r="J1060" s="111"/>
      <c r="K1060" s="111"/>
      <c r="L1060" s="111"/>
      <c r="M1060" s="111"/>
      <c r="N1060" s="111"/>
      <c r="O1060" s="111"/>
      <c r="P1060" s="111"/>
      <c r="Q1060" s="111"/>
      <c r="R1060" s="111"/>
      <c r="S1060" s="111"/>
      <c r="T1060" s="111"/>
      <c r="U1060" s="111"/>
      <c r="V1060" s="111"/>
      <c r="W1060" s="111"/>
      <c r="X1060" s="111"/>
      <c r="Y1060" s="111"/>
      <c r="Z1060" s="111"/>
      <c r="AA1060" s="111"/>
      <c r="AB1060" s="111"/>
      <c r="AC1060" s="111"/>
      <c r="AD1060" s="111"/>
      <c r="AE1060" s="111"/>
      <c r="AF1060" s="111"/>
      <c r="AG1060" s="111"/>
      <c r="AH1060" s="111"/>
      <c r="AI1060" s="111"/>
    </row>
    <row r="1061" spans="1:35" ht="18.75" customHeight="1">
      <c r="A1061" s="168"/>
      <c r="B1061" s="168"/>
      <c r="C1061" s="168"/>
      <c r="D1061" s="111"/>
      <c r="E1061" s="111"/>
      <c r="F1061" s="111"/>
      <c r="G1061" s="111"/>
      <c r="H1061" s="111"/>
      <c r="I1061" s="111"/>
      <c r="J1061" s="111"/>
      <c r="K1061" s="111"/>
      <c r="L1061" s="111"/>
      <c r="M1061" s="111"/>
      <c r="N1061" s="111"/>
      <c r="O1061" s="111"/>
      <c r="P1061" s="111"/>
      <c r="Q1061" s="111"/>
      <c r="R1061" s="111"/>
      <c r="S1061" s="111"/>
      <c r="T1061" s="111"/>
      <c r="U1061" s="111"/>
      <c r="V1061" s="111"/>
      <c r="W1061" s="111"/>
      <c r="X1061" s="111"/>
      <c r="Y1061" s="111"/>
      <c r="Z1061" s="111"/>
      <c r="AA1061" s="111"/>
      <c r="AB1061" s="111"/>
      <c r="AC1061" s="111"/>
      <c r="AD1061" s="111"/>
      <c r="AE1061" s="111"/>
      <c r="AF1061" s="111"/>
      <c r="AG1061" s="111"/>
      <c r="AH1061" s="111"/>
      <c r="AI1061" s="111"/>
    </row>
    <row r="1062" spans="1:35" ht="18.75" customHeight="1">
      <c r="A1062" s="168"/>
      <c r="B1062" s="168"/>
      <c r="C1062" s="168"/>
      <c r="D1062" s="111"/>
      <c r="E1062" s="111"/>
      <c r="F1062" s="111"/>
      <c r="G1062" s="111"/>
      <c r="H1062" s="111"/>
      <c r="I1062" s="111"/>
      <c r="J1062" s="111"/>
      <c r="K1062" s="111"/>
      <c r="L1062" s="111"/>
      <c r="M1062" s="111"/>
      <c r="N1062" s="111"/>
      <c r="O1062" s="111"/>
      <c r="P1062" s="111"/>
      <c r="Q1062" s="111"/>
      <c r="R1062" s="111"/>
      <c r="S1062" s="111"/>
      <c r="T1062" s="111"/>
      <c r="U1062" s="111"/>
      <c r="V1062" s="111"/>
      <c r="W1062" s="111"/>
      <c r="X1062" s="111"/>
      <c r="Y1062" s="111"/>
      <c r="Z1062" s="111"/>
      <c r="AA1062" s="111"/>
      <c r="AB1062" s="111"/>
      <c r="AC1062" s="111"/>
      <c r="AD1062" s="111"/>
      <c r="AE1062" s="111"/>
      <c r="AF1062" s="111"/>
      <c r="AG1062" s="111"/>
      <c r="AH1062" s="111"/>
      <c r="AI1062" s="111"/>
    </row>
    <row r="1063" spans="1:35" ht="18.75" customHeight="1">
      <c r="A1063" s="168"/>
      <c r="B1063" s="168"/>
      <c r="C1063" s="168"/>
      <c r="D1063" s="111"/>
      <c r="E1063" s="111"/>
      <c r="F1063" s="111"/>
      <c r="G1063" s="111"/>
      <c r="H1063" s="111"/>
      <c r="I1063" s="111"/>
      <c r="J1063" s="111"/>
      <c r="K1063" s="111"/>
      <c r="L1063" s="111"/>
      <c r="M1063" s="111"/>
      <c r="N1063" s="111"/>
      <c r="O1063" s="111"/>
      <c r="P1063" s="111"/>
      <c r="Q1063" s="111"/>
      <c r="R1063" s="111"/>
      <c r="S1063" s="111"/>
      <c r="T1063" s="111"/>
      <c r="U1063" s="111"/>
      <c r="V1063" s="111"/>
      <c r="W1063" s="111"/>
      <c r="X1063" s="111"/>
      <c r="Y1063" s="111"/>
      <c r="Z1063" s="111"/>
      <c r="AA1063" s="111"/>
      <c r="AB1063" s="111"/>
      <c r="AC1063" s="111"/>
      <c r="AD1063" s="111"/>
      <c r="AE1063" s="111"/>
      <c r="AF1063" s="111"/>
      <c r="AG1063" s="111"/>
      <c r="AH1063" s="111"/>
      <c r="AI1063" s="111"/>
    </row>
    <row r="1064" spans="1:35" ht="18.75" customHeight="1">
      <c r="A1064" s="168"/>
      <c r="B1064" s="168"/>
      <c r="C1064" s="168"/>
      <c r="D1064" s="111"/>
      <c r="E1064" s="111"/>
      <c r="F1064" s="111"/>
      <c r="G1064" s="111"/>
      <c r="H1064" s="111"/>
      <c r="I1064" s="111"/>
      <c r="J1064" s="111"/>
      <c r="K1064" s="111"/>
      <c r="L1064" s="111"/>
      <c r="M1064" s="111"/>
      <c r="N1064" s="111"/>
      <c r="O1064" s="111"/>
      <c r="P1064" s="111"/>
      <c r="Q1064" s="111"/>
      <c r="R1064" s="111"/>
      <c r="S1064" s="111"/>
      <c r="T1064" s="111"/>
      <c r="U1064" s="111"/>
      <c r="V1064" s="111"/>
      <c r="W1064" s="111"/>
      <c r="X1064" s="111"/>
      <c r="Y1064" s="111"/>
      <c r="Z1064" s="111"/>
      <c r="AA1064" s="111"/>
      <c r="AB1064" s="111"/>
      <c r="AC1064" s="111"/>
      <c r="AD1064" s="111"/>
      <c r="AE1064" s="111"/>
      <c r="AF1064" s="111"/>
      <c r="AG1064" s="111"/>
      <c r="AH1064" s="111"/>
      <c r="AI1064" s="111"/>
    </row>
    <row r="1065" spans="1:35" ht="18.75" customHeight="1">
      <c r="A1065" s="168"/>
      <c r="B1065" s="168"/>
      <c r="C1065" s="168"/>
      <c r="D1065" s="111"/>
      <c r="E1065" s="111"/>
      <c r="F1065" s="111"/>
      <c r="G1065" s="111"/>
      <c r="H1065" s="111"/>
      <c r="I1065" s="111"/>
      <c r="J1065" s="111"/>
      <c r="K1065" s="111"/>
      <c r="L1065" s="111"/>
      <c r="M1065" s="111"/>
      <c r="N1065" s="111"/>
      <c r="O1065" s="111"/>
      <c r="P1065" s="111"/>
      <c r="Q1065" s="111"/>
      <c r="R1065" s="111"/>
      <c r="S1065" s="111"/>
      <c r="T1065" s="111"/>
      <c r="U1065" s="111"/>
      <c r="V1065" s="111"/>
      <c r="W1065" s="111"/>
      <c r="X1065" s="111"/>
      <c r="Y1065" s="111"/>
      <c r="Z1065" s="111"/>
      <c r="AA1065" s="111"/>
      <c r="AB1065" s="111"/>
      <c r="AC1065" s="111"/>
      <c r="AD1065" s="111"/>
      <c r="AE1065" s="111"/>
      <c r="AF1065" s="111"/>
      <c r="AG1065" s="111"/>
      <c r="AH1065" s="111"/>
      <c r="AI1065" s="111"/>
    </row>
    <row r="1066" spans="1:35" ht="18.75" customHeight="1">
      <c r="A1066" s="168"/>
      <c r="B1066" s="168"/>
      <c r="C1066" s="168"/>
      <c r="D1066" s="111"/>
      <c r="E1066" s="111"/>
      <c r="F1066" s="111"/>
      <c r="G1066" s="111"/>
      <c r="H1066" s="111"/>
      <c r="I1066" s="111"/>
      <c r="J1066" s="111"/>
      <c r="K1066" s="111"/>
      <c r="L1066" s="111"/>
      <c r="M1066" s="111"/>
      <c r="N1066" s="111"/>
      <c r="O1066" s="111"/>
      <c r="P1066" s="111"/>
      <c r="Q1066" s="111"/>
      <c r="R1066" s="111"/>
      <c r="S1066" s="111"/>
      <c r="T1066" s="111"/>
      <c r="U1066" s="111"/>
      <c r="V1066" s="111"/>
      <c r="W1066" s="111"/>
      <c r="X1066" s="111"/>
      <c r="Y1066" s="111"/>
      <c r="Z1066" s="111"/>
      <c r="AA1066" s="111"/>
      <c r="AB1066" s="111"/>
      <c r="AC1066" s="111"/>
      <c r="AD1066" s="111"/>
      <c r="AE1066" s="111"/>
      <c r="AF1066" s="111"/>
      <c r="AG1066" s="111"/>
      <c r="AH1066" s="111"/>
      <c r="AI1066" s="111"/>
    </row>
    <row r="1067" spans="1:35" ht="18.75" customHeight="1">
      <c r="A1067" s="168"/>
      <c r="B1067" s="168"/>
      <c r="C1067" s="168"/>
      <c r="D1067" s="111"/>
      <c r="E1067" s="111"/>
      <c r="F1067" s="111"/>
      <c r="G1067" s="111"/>
      <c r="H1067" s="111"/>
      <c r="I1067" s="111"/>
      <c r="J1067" s="111"/>
      <c r="K1067" s="111"/>
      <c r="L1067" s="111"/>
      <c r="M1067" s="111"/>
      <c r="N1067" s="111"/>
      <c r="O1067" s="111"/>
      <c r="P1067" s="111"/>
      <c r="Q1067" s="111"/>
      <c r="R1067" s="111"/>
      <c r="S1067" s="111"/>
      <c r="T1067" s="111"/>
      <c r="U1067" s="111"/>
      <c r="V1067" s="111"/>
      <c r="W1067" s="111"/>
      <c r="X1067" s="111"/>
      <c r="Y1067" s="111"/>
      <c r="Z1067" s="111"/>
      <c r="AA1067" s="111"/>
      <c r="AB1067" s="111"/>
      <c r="AC1067" s="111"/>
      <c r="AD1067" s="111"/>
      <c r="AE1067" s="111"/>
      <c r="AF1067" s="111"/>
      <c r="AG1067" s="111"/>
      <c r="AH1067" s="111"/>
      <c r="AI1067" s="111"/>
    </row>
    <row r="1068" spans="1:35" ht="18.75" customHeight="1">
      <c r="A1068" s="168"/>
      <c r="B1068" s="168"/>
      <c r="C1068" s="168"/>
      <c r="D1068" s="111"/>
      <c r="E1068" s="111"/>
      <c r="F1068" s="111"/>
      <c r="G1068" s="111"/>
      <c r="H1068" s="111"/>
      <c r="I1068" s="111"/>
      <c r="J1068" s="111"/>
      <c r="K1068" s="111"/>
      <c r="L1068" s="111"/>
      <c r="M1068" s="111"/>
      <c r="N1068" s="111"/>
      <c r="O1068" s="111"/>
      <c r="P1068" s="111"/>
      <c r="Q1068" s="111"/>
      <c r="R1068" s="111"/>
      <c r="S1068" s="111"/>
      <c r="T1068" s="111"/>
      <c r="U1068" s="111"/>
      <c r="V1068" s="111"/>
      <c r="W1068" s="111"/>
      <c r="X1068" s="111"/>
      <c r="Y1068" s="111"/>
      <c r="Z1068" s="111"/>
      <c r="AA1068" s="111"/>
      <c r="AB1068" s="111"/>
      <c r="AC1068" s="111"/>
      <c r="AD1068" s="111"/>
      <c r="AE1068" s="111"/>
      <c r="AF1068" s="111"/>
      <c r="AG1068" s="111"/>
      <c r="AH1068" s="111"/>
      <c r="AI1068" s="111"/>
    </row>
    <row r="1069" spans="1:35" ht="18.75" customHeight="1">
      <c r="A1069" s="168"/>
      <c r="B1069" s="168"/>
      <c r="C1069" s="168"/>
      <c r="D1069" s="111"/>
      <c r="E1069" s="111"/>
      <c r="F1069" s="111"/>
      <c r="G1069" s="111"/>
      <c r="H1069" s="111"/>
      <c r="I1069" s="111"/>
      <c r="J1069" s="111"/>
      <c r="K1069" s="111"/>
      <c r="L1069" s="111"/>
      <c r="M1069" s="111"/>
      <c r="N1069" s="111"/>
      <c r="O1069" s="111"/>
      <c r="P1069" s="111"/>
      <c r="Q1069" s="111"/>
      <c r="R1069" s="111"/>
      <c r="S1069" s="111"/>
      <c r="T1069" s="111"/>
      <c r="U1069" s="111"/>
      <c r="V1069" s="111"/>
      <c r="W1069" s="111"/>
      <c r="X1069" s="111"/>
      <c r="Y1069" s="111"/>
      <c r="Z1069" s="111"/>
      <c r="AA1069" s="111"/>
      <c r="AB1069" s="111"/>
      <c r="AC1069" s="111"/>
      <c r="AD1069" s="111"/>
      <c r="AE1069" s="111"/>
      <c r="AF1069" s="111"/>
      <c r="AG1069" s="111"/>
      <c r="AH1069" s="111"/>
      <c r="AI1069" s="111"/>
    </row>
    <row r="1070" spans="1:35" ht="18.75" customHeight="1">
      <c r="A1070" s="168"/>
      <c r="B1070" s="168"/>
      <c r="C1070" s="168"/>
      <c r="D1070" s="111"/>
      <c r="E1070" s="111"/>
      <c r="F1070" s="111"/>
      <c r="G1070" s="111"/>
      <c r="H1070" s="111"/>
      <c r="I1070" s="111"/>
      <c r="J1070" s="111"/>
      <c r="K1070" s="111"/>
      <c r="L1070" s="111"/>
      <c r="M1070" s="111"/>
      <c r="N1070" s="111"/>
      <c r="O1070" s="111"/>
      <c r="P1070" s="111"/>
      <c r="Q1070" s="111"/>
      <c r="R1070" s="111"/>
      <c r="S1070" s="111"/>
      <c r="T1070" s="111"/>
      <c r="U1070" s="111"/>
      <c r="V1070" s="111"/>
      <c r="W1070" s="111"/>
      <c r="X1070" s="111"/>
      <c r="Y1070" s="111"/>
      <c r="Z1070" s="111"/>
      <c r="AA1070" s="111"/>
      <c r="AB1070" s="111"/>
      <c r="AC1070" s="111"/>
      <c r="AD1070" s="111"/>
      <c r="AE1070" s="111"/>
      <c r="AF1070" s="111"/>
      <c r="AG1070" s="111"/>
      <c r="AH1070" s="111"/>
      <c r="AI1070" s="111"/>
    </row>
    <row r="1071" spans="1:35" ht="18.75" customHeight="1">
      <c r="A1071" s="168"/>
      <c r="B1071" s="168"/>
      <c r="C1071" s="168"/>
      <c r="D1071" s="111"/>
      <c r="E1071" s="111"/>
      <c r="F1071" s="111"/>
      <c r="G1071" s="111"/>
      <c r="H1071" s="111"/>
      <c r="I1071" s="111"/>
      <c r="J1071" s="111"/>
      <c r="K1071" s="111"/>
      <c r="L1071" s="111"/>
      <c r="M1071" s="111"/>
      <c r="N1071" s="111"/>
      <c r="O1071" s="111"/>
      <c r="P1071" s="111"/>
      <c r="Q1071" s="111"/>
      <c r="R1071" s="111"/>
      <c r="S1071" s="111"/>
      <c r="T1071" s="111"/>
      <c r="U1071" s="111"/>
      <c r="V1071" s="111"/>
      <c r="W1071" s="111"/>
      <c r="X1071" s="111"/>
      <c r="Y1071" s="111"/>
      <c r="Z1071" s="111"/>
      <c r="AA1071" s="111"/>
      <c r="AB1071" s="111"/>
      <c r="AC1071" s="111"/>
      <c r="AD1071" s="111"/>
      <c r="AE1071" s="111"/>
      <c r="AF1071" s="111"/>
      <c r="AG1071" s="111"/>
      <c r="AH1071" s="111"/>
      <c r="AI1071" s="111"/>
    </row>
    <row r="1072" spans="1:35" ht="18.75" customHeight="1">
      <c r="A1072" s="168"/>
      <c r="B1072" s="168"/>
      <c r="C1072" s="168"/>
      <c r="D1072" s="111"/>
      <c r="E1072" s="111"/>
      <c r="F1072" s="111"/>
      <c r="G1072" s="111"/>
      <c r="H1072" s="111"/>
      <c r="I1072" s="111"/>
      <c r="J1072" s="111"/>
      <c r="K1072" s="111"/>
      <c r="L1072" s="111"/>
      <c r="M1072" s="111"/>
      <c r="N1072" s="111"/>
      <c r="O1072" s="111"/>
      <c r="P1072" s="111"/>
      <c r="Q1072" s="111"/>
      <c r="R1072" s="111"/>
      <c r="S1072" s="111"/>
      <c r="T1072" s="111"/>
      <c r="U1072" s="111"/>
      <c r="V1072" s="111"/>
      <c r="W1072" s="111"/>
      <c r="X1072" s="111"/>
      <c r="Y1072" s="111"/>
      <c r="Z1072" s="111"/>
      <c r="AA1072" s="111"/>
      <c r="AB1072" s="111"/>
      <c r="AC1072" s="111"/>
      <c r="AD1072" s="111"/>
      <c r="AE1072" s="111"/>
      <c r="AF1072" s="111"/>
      <c r="AG1072" s="111"/>
      <c r="AH1072" s="111"/>
      <c r="AI1072" s="111"/>
    </row>
    <row r="1073" spans="1:35" ht="18.75" customHeight="1">
      <c r="A1073" s="168"/>
      <c r="B1073" s="168"/>
      <c r="C1073" s="168"/>
      <c r="D1073" s="111"/>
      <c r="E1073" s="111"/>
      <c r="F1073" s="111"/>
      <c r="G1073" s="111"/>
      <c r="H1073" s="111"/>
      <c r="I1073" s="111"/>
      <c r="J1073" s="111"/>
      <c r="K1073" s="111"/>
      <c r="L1073" s="111"/>
      <c r="M1073" s="111"/>
      <c r="N1073" s="111"/>
      <c r="O1073" s="111"/>
      <c r="P1073" s="111"/>
      <c r="Q1073" s="111"/>
      <c r="R1073" s="111"/>
      <c r="S1073" s="111"/>
      <c r="T1073" s="111"/>
      <c r="U1073" s="111"/>
      <c r="V1073" s="111"/>
      <c r="W1073" s="111"/>
      <c r="X1073" s="111"/>
      <c r="Y1073" s="111"/>
      <c r="Z1073" s="111"/>
      <c r="AA1073" s="111"/>
      <c r="AB1073" s="111"/>
      <c r="AC1073" s="111"/>
      <c r="AD1073" s="111"/>
      <c r="AE1073" s="111"/>
      <c r="AF1073" s="111"/>
      <c r="AG1073" s="111"/>
      <c r="AH1073" s="111"/>
      <c r="AI1073" s="111"/>
    </row>
    <row r="1074" spans="1:35" ht="18.75" customHeight="1">
      <c r="A1074" s="168"/>
      <c r="B1074" s="168"/>
      <c r="C1074" s="168"/>
      <c r="D1074" s="111"/>
      <c r="E1074" s="111"/>
      <c r="F1074" s="111"/>
      <c r="G1074" s="111"/>
      <c r="H1074" s="111"/>
      <c r="I1074" s="111"/>
      <c r="J1074" s="111"/>
      <c r="K1074" s="111"/>
      <c r="L1074" s="111"/>
      <c r="M1074" s="111"/>
      <c r="N1074" s="111"/>
      <c r="O1074" s="111"/>
      <c r="P1074" s="111"/>
      <c r="Q1074" s="111"/>
      <c r="R1074" s="111"/>
      <c r="S1074" s="111"/>
      <c r="T1074" s="111"/>
      <c r="U1074" s="111"/>
      <c r="V1074" s="111"/>
      <c r="W1074" s="111"/>
      <c r="X1074" s="111"/>
      <c r="Y1074" s="111"/>
      <c r="Z1074" s="111"/>
      <c r="AA1074" s="111"/>
      <c r="AB1074" s="111"/>
      <c r="AC1074" s="111"/>
      <c r="AD1074" s="111"/>
      <c r="AE1074" s="111"/>
      <c r="AF1074" s="111"/>
      <c r="AG1074" s="111"/>
      <c r="AH1074" s="111"/>
      <c r="AI1074" s="111"/>
    </row>
    <row r="1075" spans="1:35" ht="18.75" customHeight="1">
      <c r="A1075" s="168"/>
      <c r="B1075" s="168"/>
      <c r="C1075" s="168"/>
      <c r="D1075" s="111"/>
      <c r="E1075" s="111"/>
      <c r="F1075" s="111"/>
      <c r="G1075" s="111"/>
      <c r="H1075" s="111"/>
      <c r="I1075" s="111"/>
      <c r="J1075" s="111"/>
      <c r="K1075" s="111"/>
      <c r="L1075" s="111"/>
      <c r="M1075" s="111"/>
      <c r="N1075" s="111"/>
      <c r="O1075" s="111"/>
      <c r="P1075" s="111"/>
      <c r="Q1075" s="111"/>
      <c r="R1075" s="111"/>
      <c r="S1075" s="111"/>
      <c r="T1075" s="111"/>
      <c r="U1075" s="111"/>
      <c r="V1075" s="111"/>
      <c r="W1075" s="111"/>
      <c r="X1075" s="111"/>
      <c r="Y1075" s="111"/>
      <c r="Z1075" s="111"/>
      <c r="AA1075" s="111"/>
      <c r="AB1075" s="111"/>
      <c r="AC1075" s="111"/>
      <c r="AD1075" s="111"/>
      <c r="AE1075" s="111"/>
      <c r="AF1075" s="111"/>
      <c r="AG1075" s="111"/>
      <c r="AH1075" s="111"/>
      <c r="AI1075" s="111"/>
    </row>
    <row r="1076" spans="1:35" ht="18.75" customHeight="1">
      <c r="A1076" s="168"/>
      <c r="B1076" s="168"/>
      <c r="C1076" s="168"/>
      <c r="D1076" s="111"/>
      <c r="E1076" s="111"/>
      <c r="F1076" s="111"/>
      <c r="G1076" s="111"/>
      <c r="H1076" s="111"/>
      <c r="I1076" s="111"/>
      <c r="J1076" s="111"/>
      <c r="K1076" s="111"/>
      <c r="L1076" s="111"/>
      <c r="M1076" s="111"/>
      <c r="N1076" s="111"/>
      <c r="O1076" s="111"/>
      <c r="P1076" s="111"/>
      <c r="Q1076" s="111"/>
      <c r="R1076" s="111"/>
      <c r="S1076" s="111"/>
      <c r="T1076" s="111"/>
      <c r="U1076" s="111"/>
      <c r="V1076" s="111"/>
      <c r="W1076" s="111"/>
      <c r="X1076" s="111"/>
      <c r="Y1076" s="111"/>
      <c r="Z1076" s="111"/>
      <c r="AA1076" s="111"/>
      <c r="AB1076" s="111"/>
      <c r="AC1076" s="111"/>
      <c r="AD1076" s="111"/>
      <c r="AE1076" s="111"/>
      <c r="AF1076" s="111"/>
      <c r="AG1076" s="111"/>
      <c r="AH1076" s="111"/>
      <c r="AI1076" s="111"/>
    </row>
    <row r="1077" spans="1:35" ht="18.75" customHeight="1">
      <c r="A1077" s="168"/>
      <c r="B1077" s="168"/>
      <c r="C1077" s="168"/>
      <c r="D1077" s="111"/>
      <c r="E1077" s="111"/>
      <c r="F1077" s="111"/>
      <c r="G1077" s="111"/>
      <c r="H1077" s="111"/>
      <c r="I1077" s="111"/>
      <c r="J1077" s="111"/>
      <c r="K1077" s="111"/>
      <c r="L1077" s="111"/>
      <c r="M1077" s="111"/>
      <c r="N1077" s="111"/>
      <c r="O1077" s="111"/>
      <c r="P1077" s="111"/>
      <c r="Q1077" s="111"/>
      <c r="R1077" s="111"/>
      <c r="S1077" s="111"/>
      <c r="T1077" s="111"/>
      <c r="U1077" s="111"/>
      <c r="V1077" s="111"/>
      <c r="W1077" s="111"/>
      <c r="X1077" s="111"/>
      <c r="Y1077" s="111"/>
      <c r="Z1077" s="111"/>
      <c r="AA1077" s="111"/>
      <c r="AB1077" s="111"/>
      <c r="AC1077" s="111"/>
      <c r="AD1077" s="111"/>
      <c r="AE1077" s="111"/>
      <c r="AF1077" s="111"/>
      <c r="AG1077" s="111"/>
      <c r="AH1077" s="111"/>
      <c r="AI1077" s="111"/>
    </row>
    <row r="1078" spans="1:35" ht="18.75" customHeight="1">
      <c r="A1078" s="168"/>
      <c r="B1078" s="168"/>
      <c r="C1078" s="168"/>
      <c r="D1078" s="111"/>
      <c r="E1078" s="111"/>
      <c r="F1078" s="111"/>
      <c r="G1078" s="111"/>
      <c r="H1078" s="111"/>
      <c r="I1078" s="111"/>
      <c r="J1078" s="111"/>
      <c r="K1078" s="111"/>
      <c r="L1078" s="111"/>
      <c r="M1078" s="111"/>
      <c r="N1078" s="111"/>
      <c r="O1078" s="111"/>
      <c r="P1078" s="111"/>
      <c r="Q1078" s="111"/>
      <c r="R1078" s="111"/>
      <c r="S1078" s="111"/>
      <c r="T1078" s="111"/>
      <c r="U1078" s="111"/>
      <c r="V1078" s="111"/>
      <c r="W1078" s="111"/>
      <c r="X1078" s="111"/>
      <c r="Y1078" s="111"/>
      <c r="Z1078" s="111"/>
      <c r="AA1078" s="111"/>
      <c r="AB1078" s="111"/>
      <c r="AC1078" s="111"/>
      <c r="AD1078" s="111"/>
      <c r="AE1078" s="111"/>
      <c r="AF1078" s="111"/>
      <c r="AG1078" s="111"/>
      <c r="AH1078" s="111"/>
      <c r="AI1078" s="111"/>
    </row>
    <row r="1079" spans="1:35" ht="18.75" customHeight="1">
      <c r="A1079" s="168"/>
      <c r="B1079" s="168"/>
      <c r="C1079" s="168"/>
      <c r="D1079" s="111"/>
      <c r="E1079" s="111"/>
      <c r="F1079" s="111"/>
      <c r="G1079" s="111"/>
      <c r="H1079" s="111"/>
      <c r="I1079" s="111"/>
      <c r="J1079" s="111"/>
      <c r="K1079" s="111"/>
      <c r="L1079" s="111"/>
      <c r="M1079" s="111"/>
      <c r="N1079" s="111"/>
      <c r="O1079" s="111"/>
      <c r="P1079" s="111"/>
      <c r="Q1079" s="111"/>
      <c r="R1079" s="111"/>
      <c r="S1079" s="111"/>
      <c r="T1079" s="111"/>
      <c r="U1079" s="111"/>
      <c r="V1079" s="111"/>
      <c r="W1079" s="111"/>
      <c r="X1079" s="111"/>
      <c r="Y1079" s="111"/>
      <c r="Z1079" s="111"/>
      <c r="AA1079" s="111"/>
      <c r="AB1079" s="111"/>
      <c r="AC1079" s="111"/>
      <c r="AD1079" s="111"/>
      <c r="AE1079" s="111"/>
      <c r="AF1079" s="111"/>
      <c r="AG1079" s="111"/>
      <c r="AH1079" s="111"/>
      <c r="AI1079" s="111"/>
    </row>
    <row r="1080" spans="1:35" ht="18.75" customHeight="1">
      <c r="A1080" s="168"/>
      <c r="B1080" s="168"/>
      <c r="C1080" s="168"/>
      <c r="D1080" s="111"/>
      <c r="E1080" s="111"/>
      <c r="F1080" s="111"/>
      <c r="G1080" s="111"/>
      <c r="H1080" s="111"/>
      <c r="I1080" s="111"/>
      <c r="J1080" s="111"/>
      <c r="K1080" s="111"/>
      <c r="L1080" s="111"/>
      <c r="M1080" s="111"/>
      <c r="N1080" s="111"/>
      <c r="O1080" s="111"/>
      <c r="P1080" s="111"/>
      <c r="Q1080" s="111"/>
      <c r="R1080" s="111"/>
      <c r="S1080" s="111"/>
      <c r="T1080" s="111"/>
      <c r="U1080" s="111"/>
      <c r="V1080" s="111"/>
      <c r="W1080" s="111"/>
      <c r="X1080" s="111"/>
      <c r="Y1080" s="111"/>
      <c r="Z1080" s="111"/>
      <c r="AA1080" s="111"/>
      <c r="AB1080" s="111"/>
      <c r="AC1080" s="111"/>
      <c r="AD1080" s="111"/>
      <c r="AE1080" s="111"/>
      <c r="AF1080" s="111"/>
      <c r="AG1080" s="111"/>
      <c r="AH1080" s="111"/>
      <c r="AI1080" s="111"/>
    </row>
    <row r="1081" spans="1:35" ht="18.75" customHeight="1">
      <c r="A1081" s="168"/>
      <c r="B1081" s="168"/>
      <c r="C1081" s="168"/>
      <c r="D1081" s="111"/>
      <c r="E1081" s="111"/>
      <c r="F1081" s="111"/>
      <c r="G1081" s="111"/>
      <c r="H1081" s="111"/>
      <c r="I1081" s="111"/>
      <c r="J1081" s="111"/>
      <c r="K1081" s="111"/>
      <c r="L1081" s="111"/>
      <c r="M1081" s="111"/>
      <c r="N1081" s="111"/>
      <c r="O1081" s="111"/>
      <c r="P1081" s="111"/>
      <c r="Q1081" s="111"/>
      <c r="R1081" s="111"/>
      <c r="S1081" s="111"/>
      <c r="T1081" s="111"/>
      <c r="U1081" s="111"/>
      <c r="V1081" s="111"/>
      <c r="W1081" s="111"/>
      <c r="X1081" s="111"/>
      <c r="Y1081" s="111"/>
      <c r="Z1081" s="111"/>
      <c r="AA1081" s="111"/>
      <c r="AB1081" s="111"/>
      <c r="AC1081" s="111"/>
      <c r="AD1081" s="111"/>
      <c r="AE1081" s="111"/>
      <c r="AF1081" s="111"/>
      <c r="AG1081" s="111"/>
      <c r="AH1081" s="111"/>
      <c r="AI1081" s="111"/>
    </row>
    <row r="1082" spans="1:35" ht="18.75" customHeight="1">
      <c r="A1082" s="168"/>
      <c r="B1082" s="168"/>
      <c r="C1082" s="168"/>
      <c r="D1082" s="111"/>
      <c r="E1082" s="111"/>
      <c r="F1082" s="111"/>
      <c r="G1082" s="111"/>
      <c r="H1082" s="111"/>
      <c r="I1082" s="111"/>
      <c r="J1082" s="111"/>
      <c r="K1082" s="111"/>
      <c r="L1082" s="111"/>
      <c r="M1082" s="111"/>
      <c r="N1082" s="111"/>
      <c r="O1082" s="111"/>
      <c r="P1082" s="111"/>
      <c r="Q1082" s="111"/>
      <c r="R1082" s="111"/>
      <c r="S1082" s="111"/>
      <c r="T1082" s="111"/>
      <c r="U1082" s="111"/>
      <c r="V1082" s="111"/>
      <c r="W1082" s="111"/>
      <c r="X1082" s="111"/>
      <c r="Y1082" s="111"/>
      <c r="Z1082" s="111"/>
      <c r="AA1082" s="111"/>
      <c r="AB1082" s="111"/>
      <c r="AC1082" s="111"/>
      <c r="AD1082" s="111"/>
      <c r="AE1082" s="111"/>
      <c r="AF1082" s="111"/>
      <c r="AG1082" s="111"/>
      <c r="AH1082" s="111"/>
      <c r="AI1082" s="111"/>
    </row>
    <row r="1083" spans="1:35" ht="18.75" customHeight="1">
      <c r="A1083" s="168"/>
      <c r="B1083" s="168"/>
      <c r="C1083" s="168"/>
      <c r="D1083" s="111"/>
      <c r="E1083" s="111"/>
      <c r="F1083" s="111"/>
      <c r="G1083" s="111"/>
      <c r="H1083" s="111"/>
      <c r="I1083" s="111"/>
      <c r="J1083" s="111"/>
      <c r="K1083" s="111"/>
      <c r="L1083" s="111"/>
      <c r="M1083" s="111"/>
      <c r="N1083" s="111"/>
      <c r="O1083" s="111"/>
      <c r="P1083" s="111"/>
      <c r="Q1083" s="111"/>
      <c r="R1083" s="111"/>
      <c r="S1083" s="111"/>
      <c r="T1083" s="111"/>
      <c r="U1083" s="111"/>
      <c r="V1083" s="111"/>
      <c r="W1083" s="111"/>
      <c r="X1083" s="111"/>
      <c r="Y1083" s="111"/>
      <c r="Z1083" s="111"/>
      <c r="AA1083" s="111"/>
      <c r="AB1083" s="111"/>
      <c r="AC1083" s="111"/>
      <c r="AD1083" s="111"/>
      <c r="AE1083" s="111"/>
      <c r="AF1083" s="111"/>
      <c r="AG1083" s="111"/>
      <c r="AH1083" s="111"/>
      <c r="AI1083" s="111"/>
    </row>
    <row r="1084" spans="1:35" ht="18.75" customHeight="1">
      <c r="A1084" s="168"/>
      <c r="B1084" s="168"/>
      <c r="C1084" s="168"/>
      <c r="D1084" s="111"/>
      <c r="E1084" s="111"/>
      <c r="F1084" s="111"/>
      <c r="G1084" s="111"/>
      <c r="H1084" s="111"/>
      <c r="I1084" s="111"/>
      <c r="J1084" s="111"/>
      <c r="K1084" s="111"/>
      <c r="L1084" s="111"/>
      <c r="M1084" s="111"/>
      <c r="N1084" s="111"/>
      <c r="O1084" s="111"/>
      <c r="P1084" s="111"/>
      <c r="Q1084" s="111"/>
      <c r="R1084" s="111"/>
      <c r="S1084" s="111"/>
      <c r="T1084" s="111"/>
      <c r="U1084" s="111"/>
      <c r="V1084" s="111"/>
      <c r="W1084" s="111"/>
      <c r="X1084" s="111"/>
      <c r="Y1084" s="111"/>
      <c r="Z1084" s="111"/>
      <c r="AA1084" s="111"/>
      <c r="AB1084" s="111"/>
      <c r="AC1084" s="111"/>
      <c r="AD1084" s="111"/>
      <c r="AE1084" s="111"/>
      <c r="AF1084" s="111"/>
      <c r="AG1084" s="111"/>
      <c r="AH1084" s="111"/>
      <c r="AI1084" s="111"/>
    </row>
    <row r="1085" spans="1:35" ht="18.75" customHeight="1">
      <c r="A1085" s="168"/>
      <c r="B1085" s="168"/>
      <c r="C1085" s="168"/>
      <c r="D1085" s="111"/>
      <c r="E1085" s="111"/>
      <c r="F1085" s="111"/>
      <c r="G1085" s="111"/>
      <c r="H1085" s="111"/>
      <c r="I1085" s="111"/>
      <c r="J1085" s="111"/>
      <c r="K1085" s="111"/>
      <c r="L1085" s="111"/>
      <c r="M1085" s="111"/>
      <c r="N1085" s="111"/>
      <c r="O1085" s="111"/>
      <c r="P1085" s="111"/>
      <c r="Q1085" s="111"/>
      <c r="R1085" s="111"/>
      <c r="S1085" s="111"/>
      <c r="T1085" s="111"/>
      <c r="U1085" s="111"/>
      <c r="V1085" s="111"/>
      <c r="W1085" s="111"/>
      <c r="X1085" s="111"/>
      <c r="Y1085" s="111"/>
      <c r="Z1085" s="111"/>
      <c r="AA1085" s="111"/>
      <c r="AB1085" s="111"/>
      <c r="AC1085" s="111"/>
      <c r="AD1085" s="111"/>
      <c r="AE1085" s="111"/>
      <c r="AF1085" s="111"/>
      <c r="AG1085" s="111"/>
      <c r="AH1085" s="111"/>
      <c r="AI1085" s="111"/>
    </row>
    <row r="1086" spans="1:35" ht="18.75" customHeight="1">
      <c r="A1086" s="168"/>
      <c r="B1086" s="168"/>
      <c r="C1086" s="168"/>
      <c r="D1086" s="111"/>
      <c r="E1086" s="111"/>
      <c r="F1086" s="111"/>
      <c r="G1086" s="111"/>
      <c r="H1086" s="111"/>
      <c r="I1086" s="111"/>
      <c r="J1086" s="111"/>
      <c r="K1086" s="111"/>
      <c r="L1086" s="111"/>
      <c r="M1086" s="111"/>
      <c r="N1086" s="111"/>
      <c r="O1086" s="111"/>
      <c r="P1086" s="111"/>
      <c r="Q1086" s="111"/>
      <c r="R1086" s="111"/>
      <c r="S1086" s="111"/>
      <c r="T1086" s="111"/>
      <c r="U1086" s="111"/>
      <c r="V1086" s="111"/>
      <c r="W1086" s="111"/>
      <c r="X1086" s="111"/>
      <c r="Y1086" s="111"/>
      <c r="Z1086" s="111"/>
      <c r="AA1086" s="111"/>
      <c r="AB1086" s="111"/>
      <c r="AC1086" s="111"/>
      <c r="AD1086" s="111"/>
      <c r="AE1086" s="111"/>
      <c r="AF1086" s="111"/>
      <c r="AG1086" s="111"/>
      <c r="AH1086" s="111"/>
      <c r="AI1086" s="111"/>
    </row>
    <row r="1087" spans="1:35" ht="18.75" customHeight="1">
      <c r="A1087" s="168"/>
      <c r="B1087" s="168"/>
      <c r="C1087" s="168"/>
      <c r="D1087" s="111"/>
      <c r="E1087" s="111"/>
      <c r="F1087" s="111"/>
      <c r="G1087" s="111"/>
      <c r="H1087" s="111"/>
      <c r="I1087" s="111"/>
      <c r="J1087" s="111"/>
      <c r="K1087" s="111"/>
      <c r="L1087" s="111"/>
      <c r="M1087" s="111"/>
      <c r="N1087" s="111"/>
      <c r="O1087" s="111"/>
      <c r="P1087" s="111"/>
      <c r="Q1087" s="111"/>
      <c r="R1087" s="111"/>
      <c r="S1087" s="111"/>
      <c r="T1087" s="111"/>
      <c r="U1087" s="111"/>
      <c r="V1087" s="111"/>
      <c r="W1087" s="111"/>
      <c r="X1087" s="111"/>
      <c r="Y1087" s="111"/>
      <c r="Z1087" s="111"/>
      <c r="AA1087" s="111"/>
      <c r="AB1087" s="111"/>
      <c r="AC1087" s="111"/>
      <c r="AD1087" s="111"/>
      <c r="AE1087" s="111"/>
      <c r="AF1087" s="111"/>
      <c r="AG1087" s="111"/>
      <c r="AH1087" s="111"/>
      <c r="AI1087" s="111"/>
    </row>
    <row r="1088" spans="1:35" ht="18.75" customHeight="1">
      <c r="A1088" s="168"/>
      <c r="B1088" s="168"/>
      <c r="C1088" s="168"/>
      <c r="D1088" s="111"/>
      <c r="E1088" s="111"/>
      <c r="F1088" s="111"/>
      <c r="G1088" s="111"/>
      <c r="H1088" s="111"/>
      <c r="I1088" s="111"/>
      <c r="J1088" s="111"/>
      <c r="K1088" s="111"/>
      <c r="L1088" s="111"/>
      <c r="M1088" s="111"/>
      <c r="N1088" s="111"/>
      <c r="O1088" s="111"/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/>
      <c r="AB1088" s="111"/>
      <c r="AC1088" s="111"/>
      <c r="AD1088" s="111"/>
      <c r="AE1088" s="111"/>
      <c r="AF1088" s="111"/>
      <c r="AG1088" s="111"/>
      <c r="AH1088" s="111"/>
      <c r="AI1088" s="111"/>
    </row>
    <row r="1089" spans="1:35" ht="18.75" customHeight="1">
      <c r="A1089" s="168"/>
      <c r="B1089" s="168"/>
      <c r="C1089" s="168"/>
      <c r="D1089" s="111"/>
      <c r="E1089" s="111"/>
      <c r="F1089" s="111"/>
      <c r="G1089" s="111"/>
      <c r="H1089" s="111"/>
      <c r="I1089" s="111"/>
      <c r="J1089" s="111"/>
      <c r="K1089" s="111"/>
      <c r="L1089" s="111"/>
      <c r="M1089" s="111"/>
      <c r="N1089" s="111"/>
      <c r="O1089" s="111"/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/>
      <c r="AB1089" s="111"/>
      <c r="AC1089" s="111"/>
      <c r="AD1089" s="111"/>
      <c r="AE1089" s="111"/>
      <c r="AF1089" s="111"/>
      <c r="AG1089" s="111"/>
      <c r="AH1089" s="111"/>
      <c r="AI1089" s="111"/>
    </row>
    <row r="1090" spans="1:35" ht="18.75" customHeight="1">
      <c r="A1090" s="168"/>
      <c r="B1090" s="168"/>
      <c r="C1090" s="168"/>
      <c r="D1090" s="111"/>
      <c r="E1090" s="111"/>
      <c r="F1090" s="111"/>
      <c r="G1090" s="111"/>
      <c r="H1090" s="111"/>
      <c r="I1090" s="111"/>
      <c r="J1090" s="111"/>
      <c r="K1090" s="111"/>
      <c r="L1090" s="111"/>
      <c r="M1090" s="111"/>
      <c r="N1090" s="111"/>
      <c r="O1090" s="111"/>
      <c r="P1090" s="111"/>
      <c r="Q1090" s="111"/>
      <c r="R1090" s="111"/>
      <c r="S1090" s="111"/>
      <c r="T1090" s="111"/>
      <c r="U1090" s="111"/>
      <c r="V1090" s="111"/>
      <c r="W1090" s="111"/>
      <c r="X1090" s="111"/>
      <c r="Y1090" s="111"/>
      <c r="Z1090" s="111"/>
      <c r="AA1090" s="111"/>
      <c r="AB1090" s="111"/>
      <c r="AC1090" s="111"/>
      <c r="AD1090" s="111"/>
      <c r="AE1090" s="111"/>
      <c r="AF1090" s="111"/>
      <c r="AG1090" s="111"/>
      <c r="AH1090" s="111"/>
      <c r="AI1090" s="111"/>
    </row>
    <row r="1091" spans="1:35" ht="18.75" customHeight="1">
      <c r="A1091" s="168"/>
      <c r="B1091" s="168"/>
      <c r="C1091" s="168"/>
      <c r="D1091" s="111"/>
      <c r="E1091" s="111"/>
      <c r="F1091" s="111"/>
      <c r="G1091" s="111"/>
      <c r="H1091" s="111"/>
      <c r="I1091" s="111"/>
      <c r="J1091" s="111"/>
      <c r="K1091" s="111"/>
      <c r="L1091" s="111"/>
      <c r="M1091" s="111"/>
      <c r="N1091" s="111"/>
      <c r="O1091" s="111"/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/>
      <c r="AB1091" s="111"/>
      <c r="AC1091" s="111"/>
      <c r="AD1091" s="111"/>
      <c r="AE1091" s="111"/>
      <c r="AF1091" s="111"/>
      <c r="AG1091" s="111"/>
      <c r="AH1091" s="111"/>
      <c r="AI1091" s="111"/>
    </row>
    <row r="1092" spans="1:35" ht="18.75" customHeight="1">
      <c r="A1092" s="168"/>
      <c r="B1092" s="168"/>
      <c r="C1092" s="168"/>
      <c r="D1092" s="111"/>
      <c r="E1092" s="111"/>
      <c r="F1092" s="111"/>
      <c r="G1092" s="111"/>
      <c r="H1092" s="111"/>
      <c r="I1092" s="111"/>
      <c r="J1092" s="111"/>
      <c r="K1092" s="111"/>
      <c r="L1092" s="111"/>
      <c r="M1092" s="111"/>
      <c r="N1092" s="111"/>
      <c r="O1092" s="111"/>
      <c r="P1092" s="111"/>
      <c r="Q1092" s="111"/>
      <c r="R1092" s="111"/>
      <c r="S1092" s="111"/>
      <c r="T1092" s="111"/>
      <c r="U1092" s="111"/>
      <c r="V1092" s="111"/>
      <c r="W1092" s="111"/>
      <c r="X1092" s="111"/>
      <c r="Y1092" s="111"/>
      <c r="Z1092" s="111"/>
      <c r="AA1092" s="111"/>
      <c r="AB1092" s="111"/>
      <c r="AC1092" s="111"/>
      <c r="AD1092" s="111"/>
      <c r="AE1092" s="111"/>
      <c r="AF1092" s="111"/>
      <c r="AG1092" s="111"/>
      <c r="AH1092" s="111"/>
      <c r="AI1092" s="111"/>
    </row>
    <row r="1093" spans="1:35" ht="18.75" customHeight="1">
      <c r="A1093" s="168"/>
      <c r="B1093" s="168"/>
      <c r="C1093" s="168"/>
      <c r="D1093" s="111"/>
      <c r="E1093" s="111"/>
      <c r="F1093" s="111"/>
      <c r="G1093" s="111"/>
      <c r="H1093" s="111"/>
      <c r="I1093" s="111"/>
      <c r="J1093" s="111"/>
      <c r="K1093" s="111"/>
      <c r="L1093" s="111"/>
      <c r="M1093" s="111"/>
      <c r="N1093" s="111"/>
      <c r="O1093" s="111"/>
      <c r="P1093" s="111"/>
      <c r="Q1093" s="111"/>
      <c r="R1093" s="111"/>
      <c r="S1093" s="111"/>
      <c r="T1093" s="111"/>
      <c r="U1093" s="111"/>
      <c r="V1093" s="111"/>
      <c r="W1093" s="111"/>
      <c r="X1093" s="111"/>
      <c r="Y1093" s="111"/>
      <c r="Z1093" s="111"/>
      <c r="AA1093" s="111"/>
      <c r="AB1093" s="111"/>
      <c r="AC1093" s="111"/>
      <c r="AD1093" s="111"/>
      <c r="AE1093" s="111"/>
      <c r="AF1093" s="111"/>
      <c r="AG1093" s="111"/>
      <c r="AH1093" s="111"/>
      <c r="AI1093" s="111"/>
    </row>
    <row r="1094" spans="1:35" ht="18.75" customHeight="1">
      <c r="A1094" s="168"/>
      <c r="B1094" s="168"/>
      <c r="C1094" s="168"/>
      <c r="D1094" s="111"/>
      <c r="E1094" s="111"/>
      <c r="F1094" s="111"/>
      <c r="G1094" s="111"/>
      <c r="H1094" s="111"/>
      <c r="I1094" s="111"/>
      <c r="J1094" s="111"/>
      <c r="K1094" s="111"/>
      <c r="L1094" s="111"/>
      <c r="M1094" s="111"/>
      <c r="N1094" s="111"/>
      <c r="O1094" s="111"/>
      <c r="P1094" s="111"/>
      <c r="Q1094" s="111"/>
      <c r="R1094" s="111"/>
      <c r="S1094" s="111"/>
      <c r="T1094" s="111"/>
      <c r="U1094" s="111"/>
      <c r="V1094" s="111"/>
      <c r="W1094" s="111"/>
      <c r="X1094" s="111"/>
      <c r="Y1094" s="111"/>
      <c r="Z1094" s="111"/>
      <c r="AA1094" s="111"/>
      <c r="AB1094" s="111"/>
      <c r="AC1094" s="111"/>
      <c r="AD1094" s="111"/>
      <c r="AE1094" s="111"/>
      <c r="AF1094" s="111"/>
      <c r="AG1094" s="111"/>
      <c r="AH1094" s="111"/>
      <c r="AI1094" s="111"/>
    </row>
    <row r="1095" spans="1:35" ht="18.75" customHeight="1">
      <c r="A1095" s="168"/>
      <c r="B1095" s="168"/>
      <c r="C1095" s="168"/>
      <c r="D1095" s="111"/>
      <c r="E1095" s="111"/>
      <c r="F1095" s="111"/>
      <c r="G1095" s="111"/>
      <c r="H1095" s="111"/>
      <c r="I1095" s="111"/>
      <c r="J1095" s="111"/>
      <c r="K1095" s="111"/>
      <c r="L1095" s="111"/>
      <c r="M1095" s="111"/>
      <c r="N1095" s="111"/>
      <c r="O1095" s="111"/>
      <c r="P1095" s="111"/>
      <c r="Q1095" s="111"/>
      <c r="R1095" s="111"/>
      <c r="S1095" s="111"/>
      <c r="T1095" s="111"/>
      <c r="U1095" s="111"/>
      <c r="V1095" s="111"/>
      <c r="W1095" s="111"/>
      <c r="X1095" s="111"/>
      <c r="Y1095" s="111"/>
      <c r="Z1095" s="111"/>
      <c r="AA1095" s="111"/>
      <c r="AB1095" s="111"/>
      <c r="AC1095" s="111"/>
      <c r="AD1095" s="111"/>
      <c r="AE1095" s="111"/>
      <c r="AF1095" s="111"/>
      <c r="AG1095" s="111"/>
      <c r="AH1095" s="111"/>
      <c r="AI1095" s="111"/>
    </row>
    <row r="1096" spans="1:35" ht="18.75" customHeight="1">
      <c r="A1096" s="168"/>
      <c r="B1096" s="168"/>
      <c r="C1096" s="168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  <c r="AG1096" s="111"/>
      <c r="AH1096" s="111"/>
      <c r="AI1096" s="111"/>
    </row>
    <row r="1097" spans="1:35" ht="18.75" customHeight="1">
      <c r="A1097" s="168"/>
      <c r="B1097" s="168"/>
      <c r="C1097" s="168"/>
      <c r="D1097" s="111"/>
      <c r="E1097" s="111"/>
      <c r="F1097" s="111"/>
      <c r="G1097" s="111"/>
      <c r="H1097" s="111"/>
      <c r="I1097" s="111"/>
      <c r="J1097" s="111"/>
      <c r="K1097" s="111"/>
      <c r="L1097" s="111"/>
      <c r="M1097" s="111"/>
      <c r="N1097" s="111"/>
      <c r="O1097" s="111"/>
      <c r="P1097" s="111"/>
      <c r="Q1097" s="111"/>
      <c r="R1097" s="111"/>
      <c r="S1097" s="111"/>
      <c r="T1097" s="111"/>
      <c r="U1097" s="111"/>
      <c r="V1097" s="111"/>
      <c r="W1097" s="111"/>
      <c r="X1097" s="111"/>
      <c r="Y1097" s="111"/>
      <c r="Z1097" s="111"/>
      <c r="AA1097" s="111"/>
      <c r="AB1097" s="111"/>
      <c r="AC1097" s="111"/>
      <c r="AD1097" s="111"/>
      <c r="AE1097" s="111"/>
      <c r="AF1097" s="111"/>
      <c r="AG1097" s="111"/>
      <c r="AH1097" s="111"/>
      <c r="AI1097" s="111"/>
    </row>
    <row r="1098" spans="1:35" ht="18.75" customHeight="1">
      <c r="A1098" s="168"/>
      <c r="B1098" s="168"/>
      <c r="C1098" s="168"/>
      <c r="D1098" s="111"/>
      <c r="E1098" s="111"/>
      <c r="F1098" s="111"/>
      <c r="G1098" s="111"/>
      <c r="H1098" s="111"/>
      <c r="I1098" s="111"/>
      <c r="J1098" s="111"/>
      <c r="K1098" s="111"/>
      <c r="L1098" s="111"/>
      <c r="M1098" s="111"/>
      <c r="N1098" s="111"/>
      <c r="O1098" s="111"/>
      <c r="P1098" s="111"/>
      <c r="Q1098" s="111"/>
      <c r="R1098" s="111"/>
      <c r="S1098" s="111"/>
      <c r="T1098" s="111"/>
      <c r="U1098" s="111"/>
      <c r="V1098" s="111"/>
      <c r="W1098" s="111"/>
      <c r="X1098" s="111"/>
      <c r="Y1098" s="111"/>
      <c r="Z1098" s="111"/>
      <c r="AA1098" s="111"/>
      <c r="AB1098" s="111"/>
      <c r="AC1098" s="111"/>
      <c r="AD1098" s="111"/>
      <c r="AE1098" s="111"/>
      <c r="AF1098" s="111"/>
      <c r="AG1098" s="111"/>
      <c r="AH1098" s="111"/>
      <c r="AI1098" s="111"/>
    </row>
    <row r="1099" spans="1:35" ht="18.75" customHeight="1">
      <c r="A1099" s="168"/>
      <c r="B1099" s="168"/>
      <c r="C1099" s="168"/>
      <c r="D1099" s="111"/>
      <c r="E1099" s="111"/>
      <c r="F1099" s="111"/>
      <c r="G1099" s="111"/>
      <c r="H1099" s="111"/>
      <c r="I1099" s="111"/>
      <c r="J1099" s="111"/>
      <c r="K1099" s="111"/>
      <c r="L1099" s="111"/>
      <c r="M1099" s="111"/>
      <c r="N1099" s="111"/>
      <c r="O1099" s="111"/>
      <c r="P1099" s="111"/>
      <c r="Q1099" s="111"/>
      <c r="R1099" s="111"/>
      <c r="S1099" s="111"/>
      <c r="T1099" s="111"/>
      <c r="U1099" s="111"/>
      <c r="V1099" s="111"/>
      <c r="W1099" s="111"/>
      <c r="X1099" s="111"/>
      <c r="Y1099" s="111"/>
      <c r="Z1099" s="111"/>
      <c r="AA1099" s="111"/>
      <c r="AB1099" s="111"/>
      <c r="AC1099" s="111"/>
      <c r="AD1099" s="111"/>
      <c r="AE1099" s="111"/>
      <c r="AF1099" s="111"/>
      <c r="AG1099" s="111"/>
      <c r="AH1099" s="111"/>
      <c r="AI1099" s="111"/>
    </row>
    <row r="1100" spans="1:35" ht="18.75" customHeight="1">
      <c r="A1100" s="168"/>
      <c r="B1100" s="168"/>
      <c r="C1100" s="168"/>
      <c r="D1100" s="111"/>
      <c r="E1100" s="111"/>
      <c r="F1100" s="111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  <c r="AA1100" s="111"/>
      <c r="AB1100" s="111"/>
      <c r="AC1100" s="111"/>
      <c r="AD1100" s="111"/>
      <c r="AE1100" s="111"/>
      <c r="AF1100" s="111"/>
      <c r="AG1100" s="111"/>
      <c r="AH1100" s="111"/>
      <c r="AI1100" s="111"/>
    </row>
    <row r="1101" spans="1:35" ht="18.75" customHeight="1">
      <c r="A1101" s="168"/>
      <c r="B1101" s="168"/>
      <c r="C1101" s="168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  <c r="AG1101" s="111"/>
      <c r="AH1101" s="111"/>
      <c r="AI1101" s="111"/>
    </row>
    <row r="1102" spans="1:35" ht="18.75" customHeight="1">
      <c r="A1102" s="168"/>
      <c r="B1102" s="168"/>
      <c r="C1102" s="168"/>
      <c r="D1102" s="111"/>
      <c r="E1102" s="111"/>
      <c r="F1102" s="111"/>
      <c r="G1102" s="111"/>
      <c r="H1102" s="111"/>
      <c r="I1102" s="111"/>
      <c r="J1102" s="111"/>
      <c r="K1102" s="111"/>
      <c r="L1102" s="111"/>
      <c r="M1102" s="111"/>
      <c r="N1102" s="111"/>
      <c r="O1102" s="111"/>
      <c r="P1102" s="111"/>
      <c r="Q1102" s="111"/>
      <c r="R1102" s="111"/>
      <c r="S1102" s="111"/>
      <c r="T1102" s="111"/>
      <c r="U1102" s="111"/>
      <c r="V1102" s="111"/>
      <c r="W1102" s="111"/>
      <c r="X1102" s="111"/>
      <c r="Y1102" s="111"/>
      <c r="Z1102" s="111"/>
      <c r="AA1102" s="111"/>
      <c r="AB1102" s="111"/>
      <c r="AC1102" s="111"/>
      <c r="AD1102" s="111"/>
      <c r="AE1102" s="111"/>
      <c r="AF1102" s="111"/>
      <c r="AG1102" s="111"/>
      <c r="AH1102" s="111"/>
      <c r="AI1102" s="111"/>
    </row>
    <row r="1103" spans="1:35" ht="18.75" customHeight="1">
      <c r="A1103" s="168"/>
      <c r="B1103" s="168"/>
      <c r="C1103" s="168"/>
      <c r="D1103" s="111"/>
      <c r="E1103" s="111"/>
      <c r="F1103" s="111"/>
      <c r="G1103" s="111"/>
      <c r="H1103" s="111"/>
      <c r="I1103" s="111"/>
      <c r="J1103" s="111"/>
      <c r="K1103" s="111"/>
      <c r="L1103" s="111"/>
      <c r="M1103" s="111"/>
      <c r="N1103" s="111"/>
      <c r="O1103" s="111"/>
      <c r="P1103" s="111"/>
      <c r="Q1103" s="111"/>
      <c r="R1103" s="111"/>
      <c r="S1103" s="111"/>
      <c r="T1103" s="111"/>
      <c r="U1103" s="111"/>
      <c r="V1103" s="111"/>
      <c r="W1103" s="111"/>
      <c r="X1103" s="111"/>
      <c r="Y1103" s="111"/>
      <c r="Z1103" s="111"/>
      <c r="AA1103" s="111"/>
      <c r="AB1103" s="111"/>
      <c r="AC1103" s="111"/>
      <c r="AD1103" s="111"/>
      <c r="AE1103" s="111"/>
      <c r="AF1103" s="111"/>
      <c r="AG1103" s="111"/>
      <c r="AH1103" s="111"/>
      <c r="AI1103" s="111"/>
    </row>
    <row r="1104" spans="1:35" ht="18.75" customHeight="1">
      <c r="A1104" s="168"/>
      <c r="B1104" s="168"/>
      <c r="C1104" s="168"/>
      <c r="D1104" s="111"/>
      <c r="E1104" s="111"/>
      <c r="F1104" s="111"/>
      <c r="G1104" s="111"/>
      <c r="H1104" s="111"/>
      <c r="I1104" s="111"/>
      <c r="J1104" s="111"/>
      <c r="K1104" s="111"/>
      <c r="L1104" s="111"/>
      <c r="M1104" s="111"/>
      <c r="N1104" s="111"/>
      <c r="O1104" s="111"/>
      <c r="P1104" s="111"/>
      <c r="Q1104" s="111"/>
      <c r="R1104" s="111"/>
      <c r="S1104" s="111"/>
      <c r="T1104" s="111"/>
      <c r="U1104" s="111"/>
      <c r="V1104" s="111"/>
      <c r="W1104" s="111"/>
      <c r="X1104" s="111"/>
      <c r="Y1104" s="111"/>
      <c r="Z1104" s="111"/>
      <c r="AA1104" s="111"/>
      <c r="AB1104" s="111"/>
      <c r="AC1104" s="111"/>
      <c r="AD1104" s="111"/>
      <c r="AE1104" s="111"/>
      <c r="AF1104" s="111"/>
      <c r="AG1104" s="111"/>
      <c r="AH1104" s="111"/>
      <c r="AI1104" s="111"/>
    </row>
    <row r="1105" spans="1:35" ht="18.75" customHeight="1">
      <c r="A1105" s="168"/>
      <c r="B1105" s="168"/>
      <c r="C1105" s="168"/>
      <c r="D1105" s="111"/>
      <c r="E1105" s="111"/>
      <c r="F1105" s="111"/>
      <c r="G1105" s="111"/>
      <c r="H1105" s="111"/>
      <c r="I1105" s="111"/>
      <c r="J1105" s="111"/>
      <c r="K1105" s="111"/>
      <c r="L1105" s="111"/>
      <c r="M1105" s="111"/>
      <c r="N1105" s="111"/>
      <c r="O1105" s="111"/>
      <c r="P1105" s="111"/>
      <c r="Q1105" s="111"/>
      <c r="R1105" s="111"/>
      <c r="S1105" s="111"/>
      <c r="T1105" s="111"/>
      <c r="U1105" s="111"/>
      <c r="V1105" s="111"/>
      <c r="W1105" s="111"/>
      <c r="X1105" s="111"/>
      <c r="Y1105" s="111"/>
      <c r="Z1105" s="111"/>
      <c r="AA1105" s="111"/>
      <c r="AB1105" s="111"/>
      <c r="AC1105" s="111"/>
      <c r="AD1105" s="111"/>
      <c r="AE1105" s="111"/>
      <c r="AF1105" s="111"/>
      <c r="AG1105" s="111"/>
      <c r="AH1105" s="111"/>
      <c r="AI1105" s="111"/>
    </row>
    <row r="1106" spans="1:35" ht="18.75" customHeight="1">
      <c r="A1106" s="168"/>
      <c r="B1106" s="168"/>
      <c r="C1106" s="168"/>
      <c r="D1106" s="111"/>
      <c r="E1106" s="111"/>
      <c r="F1106" s="111"/>
      <c r="G1106" s="111"/>
      <c r="H1106" s="111"/>
      <c r="I1106" s="111"/>
      <c r="J1106" s="111"/>
      <c r="K1106" s="111"/>
      <c r="L1106" s="111"/>
      <c r="M1106" s="111"/>
      <c r="N1106" s="111"/>
      <c r="O1106" s="111"/>
      <c r="P1106" s="111"/>
      <c r="Q1106" s="111"/>
      <c r="R1106" s="111"/>
      <c r="S1106" s="111"/>
      <c r="T1106" s="111"/>
      <c r="U1106" s="111"/>
      <c r="V1106" s="111"/>
      <c r="W1106" s="111"/>
      <c r="X1106" s="111"/>
      <c r="Y1106" s="111"/>
      <c r="Z1106" s="111"/>
      <c r="AA1106" s="111"/>
      <c r="AB1106" s="111"/>
      <c r="AC1106" s="111"/>
      <c r="AD1106" s="111"/>
      <c r="AE1106" s="111"/>
      <c r="AF1106" s="111"/>
      <c r="AG1106" s="111"/>
      <c r="AH1106" s="111"/>
      <c r="AI1106" s="111"/>
    </row>
    <row r="1107" spans="1:35" ht="18.75" customHeight="1">
      <c r="A1107" s="168"/>
      <c r="B1107" s="168"/>
      <c r="C1107" s="168"/>
      <c r="D1107" s="111"/>
      <c r="E1107" s="111"/>
      <c r="F1107" s="111"/>
      <c r="G1107" s="111"/>
      <c r="H1107" s="111"/>
      <c r="I1107" s="111"/>
      <c r="J1107" s="111"/>
      <c r="K1107" s="111"/>
      <c r="L1107" s="111"/>
      <c r="M1107" s="111"/>
      <c r="N1107" s="111"/>
      <c r="O1107" s="111"/>
      <c r="P1107" s="111"/>
      <c r="Q1107" s="111"/>
      <c r="R1107" s="111"/>
      <c r="S1107" s="111"/>
      <c r="T1107" s="111"/>
      <c r="U1107" s="111"/>
      <c r="V1107" s="111"/>
      <c r="W1107" s="111"/>
      <c r="X1107" s="111"/>
      <c r="Y1107" s="111"/>
      <c r="Z1107" s="111"/>
      <c r="AA1107" s="111"/>
      <c r="AB1107" s="111"/>
      <c r="AC1107" s="111"/>
      <c r="AD1107" s="111"/>
      <c r="AE1107" s="111"/>
      <c r="AF1107" s="111"/>
      <c r="AG1107" s="111"/>
      <c r="AH1107" s="111"/>
      <c r="AI1107" s="111"/>
    </row>
    <row r="1108" spans="1:35" ht="18.75" customHeight="1">
      <c r="A1108" s="168"/>
      <c r="B1108" s="168"/>
      <c r="C1108" s="168"/>
      <c r="D1108" s="111"/>
      <c r="E1108" s="111"/>
      <c r="F1108" s="111"/>
      <c r="G1108" s="111"/>
      <c r="H1108" s="111"/>
      <c r="I1108" s="111"/>
      <c r="J1108" s="111"/>
      <c r="K1108" s="111"/>
      <c r="L1108" s="111"/>
      <c r="M1108" s="111"/>
      <c r="N1108" s="111"/>
      <c r="O1108" s="111"/>
      <c r="P1108" s="111"/>
      <c r="Q1108" s="111"/>
      <c r="R1108" s="111"/>
      <c r="S1108" s="111"/>
      <c r="T1108" s="111"/>
      <c r="U1108" s="111"/>
      <c r="V1108" s="111"/>
      <c r="W1108" s="111"/>
      <c r="X1108" s="111"/>
      <c r="Y1108" s="111"/>
      <c r="Z1108" s="111"/>
      <c r="AA1108" s="111"/>
      <c r="AB1108" s="111"/>
      <c r="AC1108" s="111"/>
      <c r="AD1108" s="111"/>
      <c r="AE1108" s="111"/>
      <c r="AF1108" s="111"/>
      <c r="AG1108" s="111"/>
      <c r="AH1108" s="111"/>
      <c r="AI1108" s="111"/>
    </row>
    <row r="1109" spans="1:35" ht="18.75" customHeight="1">
      <c r="A1109" s="168"/>
      <c r="B1109" s="168"/>
      <c r="C1109" s="168"/>
      <c r="D1109" s="111"/>
      <c r="E1109" s="111"/>
      <c r="F1109" s="111"/>
      <c r="G1109" s="111"/>
      <c r="H1109" s="111"/>
      <c r="I1109" s="111"/>
      <c r="J1109" s="111"/>
      <c r="K1109" s="111"/>
      <c r="L1109" s="111"/>
      <c r="M1109" s="111"/>
      <c r="N1109" s="111"/>
      <c r="O1109" s="111"/>
      <c r="P1109" s="111"/>
      <c r="Q1109" s="111"/>
      <c r="R1109" s="111"/>
      <c r="S1109" s="111"/>
      <c r="T1109" s="111"/>
      <c r="U1109" s="111"/>
      <c r="V1109" s="111"/>
      <c r="W1109" s="111"/>
      <c r="X1109" s="111"/>
      <c r="Y1109" s="111"/>
      <c r="Z1109" s="111"/>
      <c r="AA1109" s="111"/>
      <c r="AB1109" s="111"/>
      <c r="AC1109" s="111"/>
      <c r="AD1109" s="111"/>
      <c r="AE1109" s="111"/>
      <c r="AF1109" s="111"/>
      <c r="AG1109" s="111"/>
      <c r="AH1109" s="111"/>
      <c r="AI1109" s="111"/>
    </row>
    <row r="1110" spans="1:35" ht="18.75" customHeight="1">
      <c r="A1110" s="168"/>
      <c r="B1110" s="168"/>
      <c r="C1110" s="168"/>
      <c r="D1110" s="111"/>
      <c r="E1110" s="111"/>
      <c r="F1110" s="111"/>
      <c r="G1110" s="111"/>
      <c r="H1110" s="111"/>
      <c r="I1110" s="111"/>
      <c r="J1110" s="111"/>
      <c r="K1110" s="111"/>
      <c r="L1110" s="111"/>
      <c r="M1110" s="111"/>
      <c r="N1110" s="111"/>
      <c r="O1110" s="111"/>
      <c r="P1110" s="111"/>
      <c r="Q1110" s="111"/>
      <c r="R1110" s="111"/>
      <c r="S1110" s="111"/>
      <c r="T1110" s="111"/>
      <c r="U1110" s="111"/>
      <c r="V1110" s="111"/>
      <c r="W1110" s="111"/>
      <c r="X1110" s="111"/>
      <c r="Y1110" s="111"/>
      <c r="Z1110" s="111"/>
      <c r="AA1110" s="111"/>
      <c r="AB1110" s="111"/>
      <c r="AC1110" s="111"/>
      <c r="AD1110" s="111"/>
      <c r="AE1110" s="111"/>
      <c r="AF1110" s="111"/>
      <c r="AG1110" s="111"/>
      <c r="AH1110" s="111"/>
      <c r="AI1110" s="111"/>
    </row>
    <row r="1111" spans="1:35" ht="18.75" customHeight="1">
      <c r="A1111" s="168"/>
      <c r="B1111" s="168"/>
      <c r="C1111" s="168"/>
      <c r="D1111" s="111"/>
      <c r="E1111" s="111"/>
      <c r="F1111" s="111"/>
      <c r="G1111" s="111"/>
      <c r="H1111" s="111"/>
      <c r="I1111" s="111"/>
      <c r="J1111" s="111"/>
      <c r="K1111" s="111"/>
      <c r="L1111" s="111"/>
      <c r="M1111" s="111"/>
      <c r="N1111" s="111"/>
      <c r="O1111" s="111"/>
      <c r="P1111" s="111"/>
      <c r="Q1111" s="111"/>
      <c r="R1111" s="111"/>
      <c r="S1111" s="111"/>
      <c r="T1111" s="111"/>
      <c r="U1111" s="111"/>
      <c r="V1111" s="111"/>
      <c r="W1111" s="111"/>
      <c r="X1111" s="111"/>
      <c r="Y1111" s="111"/>
      <c r="Z1111" s="111"/>
      <c r="AA1111" s="111"/>
      <c r="AB1111" s="111"/>
      <c r="AC1111" s="111"/>
      <c r="AD1111" s="111"/>
      <c r="AE1111" s="111"/>
      <c r="AF1111" s="111"/>
      <c r="AG1111" s="111"/>
      <c r="AH1111" s="111"/>
      <c r="AI1111" s="111"/>
    </row>
    <row r="1112" spans="1:35" ht="18.75" customHeight="1">
      <c r="A1112" s="168"/>
      <c r="B1112" s="168"/>
      <c r="C1112" s="168"/>
      <c r="D1112" s="111"/>
      <c r="E1112" s="111"/>
      <c r="F1112" s="111"/>
      <c r="G1112" s="111"/>
      <c r="H1112" s="111"/>
      <c r="I1112" s="111"/>
      <c r="J1112" s="111"/>
      <c r="K1112" s="111"/>
      <c r="L1112" s="111"/>
      <c r="M1112" s="111"/>
      <c r="N1112" s="111"/>
      <c r="O1112" s="111"/>
      <c r="P1112" s="111"/>
      <c r="Q1112" s="111"/>
      <c r="R1112" s="111"/>
      <c r="S1112" s="111"/>
      <c r="T1112" s="111"/>
      <c r="U1112" s="111"/>
      <c r="V1112" s="111"/>
      <c r="W1112" s="111"/>
      <c r="X1112" s="111"/>
      <c r="Y1112" s="111"/>
      <c r="Z1112" s="111"/>
      <c r="AA1112" s="111"/>
      <c r="AB1112" s="111"/>
      <c r="AC1112" s="111"/>
      <c r="AD1112" s="111"/>
      <c r="AE1112" s="111"/>
      <c r="AF1112" s="111"/>
      <c r="AG1112" s="111"/>
      <c r="AH1112" s="111"/>
      <c r="AI1112" s="111"/>
    </row>
    <row r="1113" spans="1:35" ht="18.75" customHeight="1">
      <c r="A1113" s="168"/>
      <c r="B1113" s="168"/>
      <c r="C1113" s="168"/>
      <c r="D1113" s="111"/>
      <c r="E1113" s="111"/>
      <c r="F1113" s="111"/>
      <c r="G1113" s="111"/>
      <c r="H1113" s="111"/>
      <c r="I1113" s="111"/>
      <c r="J1113" s="111"/>
      <c r="K1113" s="111"/>
      <c r="L1113" s="111"/>
      <c r="M1113" s="111"/>
      <c r="N1113" s="111"/>
      <c r="O1113" s="111"/>
      <c r="P1113" s="111"/>
      <c r="Q1113" s="111"/>
      <c r="R1113" s="111"/>
      <c r="S1113" s="111"/>
      <c r="T1113" s="111"/>
      <c r="U1113" s="111"/>
      <c r="V1113" s="111"/>
      <c r="W1113" s="111"/>
      <c r="X1113" s="111"/>
      <c r="Y1113" s="111"/>
      <c r="Z1113" s="111"/>
      <c r="AA1113" s="111"/>
      <c r="AB1113" s="111"/>
      <c r="AC1113" s="111"/>
      <c r="AD1113" s="111"/>
      <c r="AE1113" s="111"/>
      <c r="AF1113" s="111"/>
      <c r="AG1113" s="111"/>
      <c r="AH1113" s="111"/>
      <c r="AI1113" s="111"/>
    </row>
    <row r="1114" spans="1:35" ht="18.75" customHeight="1">
      <c r="A1114" s="168"/>
      <c r="B1114" s="168"/>
      <c r="C1114" s="168"/>
      <c r="D1114" s="111"/>
      <c r="E1114" s="111"/>
      <c r="F1114" s="111"/>
      <c r="G1114" s="111"/>
      <c r="H1114" s="111"/>
      <c r="I1114" s="111"/>
      <c r="J1114" s="111"/>
      <c r="K1114" s="111"/>
      <c r="L1114" s="111"/>
      <c r="M1114" s="111"/>
      <c r="N1114" s="111"/>
      <c r="O1114" s="111"/>
      <c r="P1114" s="111"/>
      <c r="Q1114" s="111"/>
      <c r="R1114" s="111"/>
      <c r="S1114" s="111"/>
      <c r="T1114" s="111"/>
      <c r="U1114" s="111"/>
      <c r="V1114" s="111"/>
      <c r="W1114" s="111"/>
      <c r="X1114" s="111"/>
      <c r="Y1114" s="111"/>
      <c r="Z1114" s="111"/>
      <c r="AA1114" s="111"/>
      <c r="AB1114" s="111"/>
      <c r="AC1114" s="111"/>
      <c r="AD1114" s="111"/>
      <c r="AE1114" s="111"/>
      <c r="AF1114" s="111"/>
      <c r="AG1114" s="111"/>
      <c r="AH1114" s="111"/>
      <c r="AI1114" s="111"/>
    </row>
    <row r="1115" spans="1:35" ht="18.75" customHeight="1">
      <c r="A1115" s="168"/>
      <c r="B1115" s="168"/>
      <c r="C1115" s="168"/>
      <c r="D1115" s="111"/>
      <c r="E1115" s="111"/>
      <c r="F1115" s="111"/>
      <c r="G1115" s="111"/>
      <c r="H1115" s="111"/>
      <c r="I1115" s="111"/>
      <c r="J1115" s="111"/>
      <c r="K1115" s="111"/>
      <c r="L1115" s="111"/>
      <c r="M1115" s="111"/>
      <c r="N1115" s="111"/>
      <c r="O1115" s="111"/>
      <c r="P1115" s="111"/>
      <c r="Q1115" s="111"/>
      <c r="R1115" s="111"/>
      <c r="S1115" s="111"/>
      <c r="T1115" s="111"/>
      <c r="U1115" s="111"/>
      <c r="V1115" s="111"/>
      <c r="W1115" s="111"/>
      <c r="X1115" s="111"/>
      <c r="Y1115" s="111"/>
      <c r="Z1115" s="111"/>
      <c r="AA1115" s="111"/>
      <c r="AB1115" s="111"/>
      <c r="AC1115" s="111"/>
      <c r="AD1115" s="111"/>
      <c r="AE1115" s="111"/>
      <c r="AF1115" s="111"/>
      <c r="AG1115" s="111"/>
      <c r="AH1115" s="111"/>
      <c r="AI1115" s="111"/>
    </row>
    <row r="1116" spans="1:35" ht="18.75" customHeight="1">
      <c r="A1116" s="168"/>
      <c r="B1116" s="168"/>
      <c r="C1116" s="168"/>
      <c r="D1116" s="111"/>
      <c r="E1116" s="111"/>
      <c r="F1116" s="111"/>
      <c r="G1116" s="111"/>
      <c r="H1116" s="111"/>
      <c r="I1116" s="111"/>
      <c r="J1116" s="111"/>
      <c r="K1116" s="111"/>
      <c r="L1116" s="111"/>
      <c r="M1116" s="111"/>
      <c r="N1116" s="111"/>
      <c r="O1116" s="111"/>
      <c r="P1116" s="111"/>
      <c r="Q1116" s="111"/>
      <c r="R1116" s="111"/>
      <c r="S1116" s="111"/>
      <c r="T1116" s="111"/>
      <c r="U1116" s="111"/>
      <c r="V1116" s="111"/>
      <c r="W1116" s="111"/>
      <c r="X1116" s="111"/>
      <c r="Y1116" s="111"/>
      <c r="Z1116" s="111"/>
      <c r="AA1116" s="111"/>
      <c r="AB1116" s="111"/>
      <c r="AC1116" s="111"/>
      <c r="AD1116" s="111"/>
      <c r="AE1116" s="111"/>
      <c r="AF1116" s="111"/>
      <c r="AG1116" s="111"/>
      <c r="AH1116" s="111"/>
      <c r="AI1116" s="111"/>
    </row>
    <row r="1117" spans="1:35" ht="18.75" customHeight="1">
      <c r="A1117" s="168"/>
      <c r="B1117" s="168"/>
      <c r="C1117" s="168"/>
      <c r="D1117" s="111"/>
      <c r="E1117" s="111"/>
      <c r="F1117" s="111"/>
      <c r="G1117" s="111"/>
      <c r="H1117" s="111"/>
      <c r="I1117" s="111"/>
      <c r="J1117" s="111"/>
      <c r="K1117" s="111"/>
      <c r="L1117" s="111"/>
      <c r="M1117" s="111"/>
      <c r="N1117" s="111"/>
      <c r="O1117" s="111"/>
      <c r="P1117" s="111"/>
      <c r="Q1117" s="111"/>
      <c r="R1117" s="111"/>
      <c r="S1117" s="111"/>
      <c r="T1117" s="111"/>
      <c r="U1117" s="111"/>
      <c r="V1117" s="111"/>
      <c r="W1117" s="111"/>
      <c r="X1117" s="111"/>
      <c r="Y1117" s="111"/>
      <c r="Z1117" s="111"/>
      <c r="AA1117" s="111"/>
      <c r="AB1117" s="111"/>
      <c r="AC1117" s="111"/>
      <c r="AD1117" s="111"/>
      <c r="AE1117" s="111"/>
      <c r="AF1117" s="111"/>
      <c r="AG1117" s="111"/>
      <c r="AH1117" s="111"/>
      <c r="AI1117" s="111"/>
    </row>
    <row r="1118" spans="1:35" ht="18.75" customHeight="1">
      <c r="A1118" s="168"/>
      <c r="B1118" s="168"/>
      <c r="C1118" s="168"/>
      <c r="D1118" s="111"/>
      <c r="E1118" s="111"/>
      <c r="F1118" s="111"/>
      <c r="G1118" s="111"/>
      <c r="H1118" s="111"/>
      <c r="I1118" s="111"/>
      <c r="J1118" s="111"/>
      <c r="K1118" s="111"/>
      <c r="L1118" s="111"/>
      <c r="M1118" s="111"/>
      <c r="N1118" s="111"/>
      <c r="O1118" s="111"/>
      <c r="P1118" s="111"/>
      <c r="Q1118" s="111"/>
      <c r="R1118" s="111"/>
      <c r="S1118" s="111"/>
      <c r="T1118" s="111"/>
      <c r="U1118" s="111"/>
      <c r="V1118" s="111"/>
      <c r="W1118" s="111"/>
      <c r="X1118" s="111"/>
      <c r="Y1118" s="111"/>
      <c r="Z1118" s="111"/>
      <c r="AA1118" s="111"/>
      <c r="AB1118" s="111"/>
      <c r="AC1118" s="111"/>
      <c r="AD1118" s="111"/>
      <c r="AE1118" s="111"/>
      <c r="AF1118" s="111"/>
      <c r="AG1118" s="111"/>
      <c r="AH1118" s="111"/>
      <c r="AI1118" s="111"/>
    </row>
    <row r="1119" spans="1:35" ht="18.75" customHeight="1">
      <c r="A1119" s="168"/>
      <c r="B1119" s="168"/>
      <c r="C1119" s="168"/>
      <c r="D1119" s="111"/>
      <c r="E1119" s="111"/>
      <c r="F1119" s="111"/>
      <c r="G1119" s="111"/>
      <c r="H1119" s="111"/>
      <c r="I1119" s="111"/>
      <c r="J1119" s="111"/>
      <c r="K1119" s="111"/>
      <c r="L1119" s="111"/>
      <c r="M1119" s="111"/>
      <c r="N1119" s="111"/>
      <c r="O1119" s="111"/>
      <c r="P1119" s="111"/>
      <c r="Q1119" s="111"/>
      <c r="R1119" s="111"/>
      <c r="S1119" s="111"/>
      <c r="T1119" s="111"/>
      <c r="U1119" s="111"/>
      <c r="V1119" s="111"/>
      <c r="W1119" s="111"/>
      <c r="X1119" s="111"/>
      <c r="Y1119" s="111"/>
      <c r="Z1119" s="111"/>
      <c r="AA1119" s="111"/>
      <c r="AB1119" s="111"/>
      <c r="AC1119" s="111"/>
      <c r="AD1119" s="111"/>
      <c r="AE1119" s="111"/>
      <c r="AF1119" s="111"/>
      <c r="AG1119" s="111"/>
      <c r="AH1119" s="111"/>
      <c r="AI1119" s="111"/>
    </row>
    <row r="1120" spans="1:35" ht="18.75" customHeight="1">
      <c r="A1120" s="168"/>
      <c r="B1120" s="168"/>
      <c r="C1120" s="168"/>
      <c r="D1120" s="111"/>
      <c r="E1120" s="111"/>
      <c r="F1120" s="111"/>
      <c r="G1120" s="111"/>
      <c r="H1120" s="111"/>
      <c r="I1120" s="111"/>
      <c r="J1120" s="111"/>
      <c r="K1120" s="111"/>
      <c r="L1120" s="111"/>
      <c r="M1120" s="111"/>
      <c r="N1120" s="111"/>
      <c r="O1120" s="111"/>
      <c r="P1120" s="111"/>
      <c r="Q1120" s="111"/>
      <c r="R1120" s="111"/>
      <c r="S1120" s="111"/>
      <c r="T1120" s="111"/>
      <c r="U1120" s="111"/>
      <c r="V1120" s="111"/>
      <c r="W1120" s="111"/>
      <c r="X1120" s="111"/>
      <c r="Y1120" s="111"/>
      <c r="Z1120" s="111"/>
      <c r="AA1120" s="111"/>
      <c r="AB1120" s="111"/>
      <c r="AC1120" s="111"/>
      <c r="AD1120" s="111"/>
      <c r="AE1120" s="111"/>
      <c r="AF1120" s="111"/>
      <c r="AG1120" s="111"/>
      <c r="AH1120" s="111"/>
      <c r="AI1120" s="111"/>
    </row>
    <row r="1121" spans="1:35" ht="18.75" customHeight="1">
      <c r="A1121" s="168"/>
      <c r="B1121" s="168"/>
      <c r="C1121" s="168"/>
      <c r="D1121" s="111"/>
      <c r="E1121" s="111"/>
      <c r="F1121" s="111"/>
      <c r="G1121" s="111"/>
      <c r="H1121" s="111"/>
      <c r="I1121" s="111"/>
      <c r="J1121" s="111"/>
      <c r="K1121" s="111"/>
      <c r="L1121" s="111"/>
      <c r="M1121" s="111"/>
      <c r="N1121" s="111"/>
      <c r="O1121" s="111"/>
      <c r="P1121" s="111"/>
      <c r="Q1121" s="111"/>
      <c r="R1121" s="111"/>
      <c r="S1121" s="111"/>
      <c r="T1121" s="111"/>
      <c r="U1121" s="111"/>
      <c r="V1121" s="111"/>
      <c r="W1121" s="111"/>
      <c r="X1121" s="111"/>
      <c r="Y1121" s="111"/>
      <c r="Z1121" s="111"/>
      <c r="AA1121" s="111"/>
      <c r="AB1121" s="111"/>
      <c r="AC1121" s="111"/>
      <c r="AD1121" s="111"/>
      <c r="AE1121" s="111"/>
      <c r="AF1121" s="111"/>
      <c r="AG1121" s="111"/>
      <c r="AH1121" s="111"/>
      <c r="AI1121" s="111"/>
    </row>
    <row r="1122" spans="1:35" ht="18.75" customHeight="1">
      <c r="A1122" s="168"/>
      <c r="B1122" s="168"/>
      <c r="C1122" s="168"/>
      <c r="D1122" s="111"/>
      <c r="E1122" s="111"/>
      <c r="F1122" s="111"/>
      <c r="G1122" s="111"/>
      <c r="H1122" s="111"/>
      <c r="I1122" s="111"/>
      <c r="J1122" s="111"/>
      <c r="K1122" s="111"/>
      <c r="L1122" s="111"/>
      <c r="M1122" s="111"/>
      <c r="N1122" s="111"/>
      <c r="O1122" s="111"/>
      <c r="P1122" s="111"/>
      <c r="Q1122" s="111"/>
      <c r="R1122" s="111"/>
      <c r="S1122" s="111"/>
      <c r="T1122" s="111"/>
      <c r="U1122" s="111"/>
      <c r="V1122" s="111"/>
      <c r="W1122" s="111"/>
      <c r="X1122" s="111"/>
      <c r="Y1122" s="111"/>
      <c r="Z1122" s="111"/>
      <c r="AA1122" s="111"/>
      <c r="AB1122" s="111"/>
      <c r="AC1122" s="111"/>
      <c r="AD1122" s="111"/>
      <c r="AE1122" s="111"/>
      <c r="AF1122" s="111"/>
      <c r="AG1122" s="111"/>
      <c r="AH1122" s="111"/>
      <c r="AI1122" s="111"/>
    </row>
    <row r="1123" spans="1:35" ht="18.75" customHeight="1">
      <c r="A1123" s="168"/>
      <c r="B1123" s="168"/>
      <c r="C1123" s="168"/>
      <c r="D1123" s="111"/>
      <c r="E1123" s="111"/>
      <c r="F1123" s="111"/>
      <c r="G1123" s="111"/>
      <c r="H1123" s="111"/>
      <c r="I1123" s="111"/>
      <c r="J1123" s="111"/>
      <c r="K1123" s="111"/>
      <c r="L1123" s="111"/>
      <c r="M1123" s="111"/>
      <c r="N1123" s="111"/>
      <c r="O1123" s="111"/>
      <c r="P1123" s="111"/>
      <c r="Q1123" s="111"/>
      <c r="R1123" s="111"/>
      <c r="S1123" s="111"/>
      <c r="T1123" s="111"/>
      <c r="U1123" s="111"/>
      <c r="V1123" s="111"/>
      <c r="W1123" s="111"/>
      <c r="X1123" s="111"/>
      <c r="Y1123" s="111"/>
      <c r="Z1123" s="111"/>
      <c r="AA1123" s="111"/>
      <c r="AB1123" s="111"/>
      <c r="AC1123" s="111"/>
      <c r="AD1123" s="111"/>
      <c r="AE1123" s="111"/>
      <c r="AF1123" s="111"/>
      <c r="AG1123" s="111"/>
      <c r="AH1123" s="111"/>
      <c r="AI1123" s="111"/>
    </row>
    <row r="1124" spans="1:35" ht="18.75" customHeight="1">
      <c r="A1124" s="168"/>
      <c r="B1124" s="168"/>
      <c r="C1124" s="168"/>
      <c r="D1124" s="111"/>
      <c r="E1124" s="111"/>
      <c r="F1124" s="111"/>
      <c r="G1124" s="111"/>
      <c r="H1124" s="111"/>
      <c r="I1124" s="111"/>
      <c r="J1124" s="111"/>
      <c r="K1124" s="111"/>
      <c r="L1124" s="111"/>
      <c r="M1124" s="111"/>
      <c r="N1124" s="111"/>
      <c r="O1124" s="111"/>
      <c r="P1124" s="111"/>
      <c r="Q1124" s="111"/>
      <c r="R1124" s="111"/>
      <c r="S1124" s="111"/>
      <c r="T1124" s="111"/>
      <c r="U1124" s="111"/>
      <c r="V1124" s="111"/>
      <c r="W1124" s="111"/>
      <c r="X1124" s="111"/>
      <c r="Y1124" s="111"/>
      <c r="Z1124" s="111"/>
      <c r="AA1124" s="111"/>
      <c r="AB1124" s="111"/>
      <c r="AC1124" s="111"/>
      <c r="AD1124" s="111"/>
      <c r="AE1124" s="111"/>
      <c r="AF1124" s="111"/>
      <c r="AG1124" s="111"/>
      <c r="AH1124" s="111"/>
      <c r="AI1124" s="111"/>
    </row>
    <row r="1125" spans="1:35" ht="18.75" customHeight="1">
      <c r="A1125" s="168"/>
      <c r="B1125" s="168"/>
      <c r="C1125" s="168"/>
      <c r="D1125" s="111"/>
      <c r="E1125" s="111"/>
      <c r="F1125" s="111"/>
      <c r="G1125" s="111"/>
      <c r="H1125" s="111"/>
      <c r="I1125" s="111"/>
      <c r="J1125" s="111"/>
      <c r="K1125" s="111"/>
      <c r="L1125" s="111"/>
      <c r="M1125" s="111"/>
      <c r="N1125" s="111"/>
      <c r="O1125" s="111"/>
      <c r="P1125" s="111"/>
      <c r="Q1125" s="111"/>
      <c r="R1125" s="111"/>
      <c r="S1125" s="111"/>
      <c r="T1125" s="111"/>
      <c r="U1125" s="111"/>
      <c r="V1125" s="111"/>
      <c r="W1125" s="111"/>
      <c r="X1125" s="111"/>
      <c r="Y1125" s="111"/>
      <c r="Z1125" s="111"/>
      <c r="AA1125" s="111"/>
      <c r="AB1125" s="111"/>
      <c r="AC1125" s="111"/>
      <c r="AD1125" s="111"/>
      <c r="AE1125" s="111"/>
      <c r="AF1125" s="111"/>
      <c r="AG1125" s="111"/>
      <c r="AH1125" s="111"/>
      <c r="AI1125" s="111"/>
    </row>
    <row r="1126" spans="1:35" ht="18.75" customHeight="1">
      <c r="A1126" s="168"/>
      <c r="B1126" s="168"/>
      <c r="C1126" s="168"/>
      <c r="D1126" s="111"/>
      <c r="E1126" s="111"/>
      <c r="F1126" s="111"/>
      <c r="G1126" s="111"/>
      <c r="H1126" s="111"/>
      <c r="I1126" s="111"/>
      <c r="J1126" s="111"/>
      <c r="K1126" s="111"/>
      <c r="L1126" s="111"/>
      <c r="M1126" s="111"/>
      <c r="N1126" s="111"/>
      <c r="O1126" s="111"/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/>
      <c r="AB1126" s="111"/>
      <c r="AC1126" s="111"/>
      <c r="AD1126" s="111"/>
      <c r="AE1126" s="111"/>
      <c r="AF1126" s="111"/>
      <c r="AG1126" s="111"/>
      <c r="AH1126" s="111"/>
      <c r="AI1126" s="111"/>
    </row>
    <row r="1127" spans="1:35" ht="18.75" customHeight="1">
      <c r="A1127" s="168"/>
      <c r="B1127" s="168"/>
      <c r="C1127" s="168"/>
      <c r="D1127" s="111"/>
      <c r="E1127" s="111"/>
      <c r="F1127" s="111"/>
      <c r="G1127" s="111"/>
      <c r="H1127" s="111"/>
      <c r="I1127" s="111"/>
      <c r="J1127" s="111"/>
      <c r="K1127" s="111"/>
      <c r="L1127" s="111"/>
      <c r="M1127" s="111"/>
      <c r="N1127" s="111"/>
      <c r="O1127" s="111"/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/>
      <c r="AB1127" s="111"/>
      <c r="AC1127" s="111"/>
      <c r="AD1127" s="111"/>
      <c r="AE1127" s="111"/>
      <c r="AF1127" s="111"/>
      <c r="AG1127" s="111"/>
      <c r="AH1127" s="111"/>
      <c r="AI1127" s="111"/>
    </row>
    <row r="1128" spans="1:35" ht="18.75" customHeight="1">
      <c r="A1128" s="168"/>
      <c r="B1128" s="168"/>
      <c r="C1128" s="168"/>
      <c r="D1128" s="111"/>
      <c r="E1128" s="111"/>
      <c r="F1128" s="111"/>
      <c r="G1128" s="111"/>
      <c r="H1128" s="111"/>
      <c r="I1128" s="111"/>
      <c r="J1128" s="111"/>
      <c r="K1128" s="111"/>
      <c r="L1128" s="111"/>
      <c r="M1128" s="111"/>
      <c r="N1128" s="111"/>
      <c r="O1128" s="111"/>
      <c r="P1128" s="111"/>
      <c r="Q1128" s="111"/>
      <c r="R1128" s="111"/>
      <c r="S1128" s="111"/>
      <c r="T1128" s="111"/>
      <c r="U1128" s="111"/>
      <c r="V1128" s="111"/>
      <c r="W1128" s="111"/>
      <c r="X1128" s="111"/>
      <c r="Y1128" s="111"/>
      <c r="Z1128" s="111"/>
      <c r="AA1128" s="111"/>
      <c r="AB1128" s="111"/>
      <c r="AC1128" s="111"/>
      <c r="AD1128" s="111"/>
      <c r="AE1128" s="111"/>
      <c r="AF1128" s="111"/>
      <c r="AG1128" s="111"/>
      <c r="AH1128" s="111"/>
      <c r="AI1128" s="111"/>
    </row>
    <row r="1129" spans="1:35" ht="18.75" customHeight="1">
      <c r="A1129" s="168"/>
      <c r="B1129" s="168"/>
      <c r="C1129" s="168"/>
      <c r="D1129" s="111"/>
      <c r="E1129" s="111"/>
      <c r="F1129" s="111"/>
      <c r="G1129" s="111"/>
      <c r="H1129" s="111"/>
      <c r="I1129" s="111"/>
      <c r="J1129" s="111"/>
      <c r="K1129" s="111"/>
      <c r="L1129" s="111"/>
      <c r="M1129" s="111"/>
      <c r="N1129" s="111"/>
      <c r="O1129" s="111"/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/>
      <c r="AB1129" s="111"/>
      <c r="AC1129" s="111"/>
      <c r="AD1129" s="111"/>
      <c r="AE1129" s="111"/>
      <c r="AF1129" s="111"/>
      <c r="AG1129" s="111"/>
      <c r="AH1129" s="111"/>
      <c r="AI1129" s="111"/>
    </row>
    <row r="1130" spans="1:35" ht="18.75" customHeight="1">
      <c r="A1130" s="168"/>
      <c r="B1130" s="168"/>
      <c r="C1130" s="168"/>
      <c r="D1130" s="111"/>
      <c r="E1130" s="111"/>
      <c r="F1130" s="111"/>
      <c r="G1130" s="111"/>
      <c r="H1130" s="111"/>
      <c r="I1130" s="111"/>
      <c r="J1130" s="111"/>
      <c r="K1130" s="111"/>
      <c r="L1130" s="111"/>
      <c r="M1130" s="111"/>
      <c r="N1130" s="111"/>
      <c r="O1130" s="111"/>
      <c r="P1130" s="111"/>
      <c r="Q1130" s="111"/>
      <c r="R1130" s="111"/>
      <c r="S1130" s="111"/>
      <c r="T1130" s="111"/>
      <c r="U1130" s="111"/>
      <c r="V1130" s="111"/>
      <c r="W1130" s="111"/>
      <c r="X1130" s="111"/>
      <c r="Y1130" s="111"/>
      <c r="Z1130" s="111"/>
      <c r="AA1130" s="111"/>
      <c r="AB1130" s="111"/>
      <c r="AC1130" s="111"/>
      <c r="AD1130" s="111"/>
      <c r="AE1130" s="111"/>
      <c r="AF1130" s="111"/>
      <c r="AG1130" s="111"/>
      <c r="AH1130" s="111"/>
      <c r="AI1130" s="111"/>
    </row>
    <row r="1131" spans="1:35" ht="18.75" customHeight="1">
      <c r="A1131" s="168"/>
      <c r="B1131" s="168"/>
      <c r="C1131" s="168"/>
      <c r="D1131" s="111"/>
      <c r="E1131" s="111"/>
      <c r="F1131" s="111"/>
      <c r="G1131" s="111"/>
      <c r="H1131" s="111"/>
      <c r="I1131" s="111"/>
      <c r="J1131" s="111"/>
      <c r="K1131" s="111"/>
      <c r="L1131" s="111"/>
      <c r="M1131" s="111"/>
      <c r="N1131" s="111"/>
      <c r="O1131" s="111"/>
      <c r="P1131" s="111"/>
      <c r="Q1131" s="111"/>
      <c r="R1131" s="111"/>
      <c r="S1131" s="111"/>
      <c r="T1131" s="111"/>
      <c r="U1131" s="111"/>
      <c r="V1131" s="111"/>
      <c r="W1131" s="111"/>
      <c r="X1131" s="111"/>
      <c r="Y1131" s="111"/>
      <c r="Z1131" s="111"/>
      <c r="AA1131" s="111"/>
      <c r="AB1131" s="111"/>
      <c r="AC1131" s="111"/>
      <c r="AD1131" s="111"/>
      <c r="AE1131" s="111"/>
      <c r="AF1131" s="111"/>
      <c r="AG1131" s="111"/>
      <c r="AH1131" s="111"/>
      <c r="AI1131" s="111"/>
    </row>
    <row r="1132" spans="1:35" ht="18.75" customHeight="1">
      <c r="A1132" s="168"/>
      <c r="B1132" s="168"/>
      <c r="C1132" s="168"/>
      <c r="D1132" s="111"/>
      <c r="E1132" s="111"/>
      <c r="F1132" s="111"/>
      <c r="G1132" s="111"/>
      <c r="H1132" s="111"/>
      <c r="I1132" s="111"/>
      <c r="J1132" s="111"/>
      <c r="K1132" s="111"/>
      <c r="L1132" s="111"/>
      <c r="M1132" s="111"/>
      <c r="N1132" s="111"/>
      <c r="O1132" s="111"/>
      <c r="P1132" s="111"/>
      <c r="Q1132" s="111"/>
      <c r="R1132" s="111"/>
      <c r="S1132" s="111"/>
      <c r="T1132" s="111"/>
      <c r="U1132" s="111"/>
      <c r="V1132" s="111"/>
      <c r="W1132" s="111"/>
      <c r="X1132" s="111"/>
      <c r="Y1132" s="111"/>
      <c r="Z1132" s="111"/>
      <c r="AA1132" s="111"/>
      <c r="AB1132" s="111"/>
      <c r="AC1132" s="111"/>
      <c r="AD1132" s="111"/>
      <c r="AE1132" s="111"/>
      <c r="AF1132" s="111"/>
      <c r="AG1132" s="111"/>
      <c r="AH1132" s="111"/>
      <c r="AI1132" s="111"/>
    </row>
    <row r="1133" spans="1:35" ht="18.75" customHeight="1">
      <c r="A1133" s="168"/>
      <c r="B1133" s="168"/>
      <c r="C1133" s="168"/>
      <c r="D1133" s="111"/>
      <c r="E1133" s="111"/>
      <c r="F1133" s="111"/>
      <c r="G1133" s="111"/>
      <c r="H1133" s="111"/>
      <c r="I1133" s="111"/>
      <c r="J1133" s="111"/>
      <c r="K1133" s="111"/>
      <c r="L1133" s="111"/>
      <c r="M1133" s="111"/>
      <c r="N1133" s="111"/>
      <c r="O1133" s="111"/>
      <c r="P1133" s="111"/>
      <c r="Q1133" s="111"/>
      <c r="R1133" s="111"/>
      <c r="S1133" s="111"/>
      <c r="T1133" s="111"/>
      <c r="U1133" s="111"/>
      <c r="V1133" s="111"/>
      <c r="W1133" s="111"/>
      <c r="X1133" s="111"/>
      <c r="Y1133" s="111"/>
      <c r="Z1133" s="111"/>
      <c r="AA1133" s="111"/>
      <c r="AB1133" s="111"/>
      <c r="AC1133" s="111"/>
      <c r="AD1133" s="111"/>
      <c r="AE1133" s="111"/>
      <c r="AF1133" s="111"/>
      <c r="AG1133" s="111"/>
      <c r="AH1133" s="111"/>
      <c r="AI1133" s="111"/>
    </row>
    <row r="1134" spans="1:35" ht="18.75" customHeight="1">
      <c r="A1134" s="168"/>
      <c r="B1134" s="168"/>
      <c r="C1134" s="168"/>
      <c r="D1134" s="111"/>
      <c r="E1134" s="111"/>
      <c r="F1134" s="111"/>
      <c r="G1134" s="111"/>
      <c r="H1134" s="111"/>
      <c r="I1134" s="111"/>
      <c r="J1134" s="111"/>
      <c r="K1134" s="111"/>
      <c r="L1134" s="111"/>
      <c r="M1134" s="111"/>
      <c r="N1134" s="111"/>
      <c r="O1134" s="111"/>
      <c r="P1134" s="111"/>
      <c r="Q1134" s="111"/>
      <c r="R1134" s="111"/>
      <c r="S1134" s="111"/>
      <c r="T1134" s="111"/>
      <c r="U1134" s="111"/>
      <c r="V1134" s="111"/>
      <c r="W1134" s="111"/>
      <c r="X1134" s="111"/>
      <c r="Y1134" s="111"/>
      <c r="Z1134" s="111"/>
      <c r="AA1134" s="111"/>
      <c r="AB1134" s="111"/>
      <c r="AC1134" s="111"/>
      <c r="AD1134" s="111"/>
      <c r="AE1134" s="111"/>
      <c r="AF1134" s="111"/>
      <c r="AG1134" s="111"/>
      <c r="AH1134" s="111"/>
      <c r="AI1134" s="111"/>
    </row>
    <row r="1135" spans="1:35" ht="18.75" customHeight="1">
      <c r="A1135" s="168"/>
      <c r="B1135" s="168"/>
      <c r="C1135" s="168"/>
      <c r="D1135" s="111"/>
      <c r="E1135" s="111"/>
      <c r="F1135" s="111"/>
      <c r="G1135" s="111"/>
      <c r="H1135" s="111"/>
      <c r="I1135" s="111"/>
      <c r="J1135" s="111"/>
      <c r="K1135" s="111"/>
      <c r="L1135" s="111"/>
      <c r="M1135" s="111"/>
      <c r="N1135" s="111"/>
      <c r="O1135" s="111"/>
      <c r="P1135" s="111"/>
      <c r="Q1135" s="111"/>
      <c r="R1135" s="111"/>
      <c r="S1135" s="111"/>
      <c r="T1135" s="111"/>
      <c r="U1135" s="111"/>
      <c r="V1135" s="111"/>
      <c r="W1135" s="111"/>
      <c r="X1135" s="111"/>
      <c r="Y1135" s="111"/>
      <c r="Z1135" s="111"/>
      <c r="AA1135" s="111"/>
      <c r="AB1135" s="111"/>
      <c r="AC1135" s="111"/>
      <c r="AD1135" s="111"/>
      <c r="AE1135" s="111"/>
      <c r="AF1135" s="111"/>
      <c r="AG1135" s="111"/>
      <c r="AH1135" s="111"/>
      <c r="AI1135" s="111"/>
    </row>
    <row r="1136" spans="1:35" ht="18.75" customHeight="1">
      <c r="A1136" s="168"/>
      <c r="B1136" s="168"/>
      <c r="C1136" s="168"/>
      <c r="D1136" s="111"/>
      <c r="E1136" s="111"/>
      <c r="F1136" s="111"/>
      <c r="G1136" s="111"/>
      <c r="H1136" s="111"/>
      <c r="I1136" s="111"/>
      <c r="J1136" s="111"/>
      <c r="K1136" s="111"/>
      <c r="L1136" s="111"/>
      <c r="M1136" s="111"/>
      <c r="N1136" s="111"/>
      <c r="O1136" s="111"/>
      <c r="P1136" s="111"/>
      <c r="Q1136" s="111"/>
      <c r="R1136" s="111"/>
      <c r="S1136" s="111"/>
      <c r="T1136" s="111"/>
      <c r="U1136" s="111"/>
      <c r="V1136" s="111"/>
      <c r="W1136" s="111"/>
      <c r="X1136" s="111"/>
      <c r="Y1136" s="111"/>
      <c r="Z1136" s="111"/>
      <c r="AA1136" s="111"/>
      <c r="AB1136" s="111"/>
      <c r="AC1136" s="111"/>
      <c r="AD1136" s="111"/>
      <c r="AE1136" s="111"/>
      <c r="AF1136" s="111"/>
      <c r="AG1136" s="111"/>
      <c r="AH1136" s="111"/>
      <c r="AI1136" s="111"/>
    </row>
    <row r="1137" spans="1:35" ht="18.75" customHeight="1">
      <c r="A1137" s="168"/>
      <c r="B1137" s="168"/>
      <c r="C1137" s="168"/>
      <c r="D1137" s="111"/>
      <c r="E1137" s="111"/>
      <c r="F1137" s="111"/>
      <c r="G1137" s="111"/>
      <c r="H1137" s="111"/>
      <c r="I1137" s="111"/>
      <c r="J1137" s="111"/>
      <c r="K1137" s="111"/>
      <c r="L1137" s="111"/>
      <c r="M1137" s="111"/>
      <c r="N1137" s="111"/>
      <c r="O1137" s="111"/>
      <c r="P1137" s="111"/>
      <c r="Q1137" s="111"/>
      <c r="R1137" s="111"/>
      <c r="S1137" s="111"/>
      <c r="T1137" s="111"/>
      <c r="U1137" s="111"/>
      <c r="V1137" s="111"/>
      <c r="W1137" s="111"/>
      <c r="X1137" s="111"/>
      <c r="Y1137" s="111"/>
      <c r="Z1137" s="111"/>
      <c r="AA1137" s="111"/>
      <c r="AB1137" s="111"/>
      <c r="AC1137" s="111"/>
      <c r="AD1137" s="111"/>
      <c r="AE1137" s="111"/>
      <c r="AF1137" s="111"/>
      <c r="AG1137" s="111"/>
      <c r="AH1137" s="111"/>
      <c r="AI1137" s="111"/>
    </row>
    <row r="1138" spans="1:35" ht="18.75" customHeight="1">
      <c r="A1138" s="168"/>
      <c r="B1138" s="168"/>
      <c r="C1138" s="168"/>
      <c r="D1138" s="111"/>
      <c r="E1138" s="111"/>
      <c r="F1138" s="111"/>
      <c r="G1138" s="111"/>
      <c r="H1138" s="111"/>
      <c r="I1138" s="111"/>
      <c r="J1138" s="111"/>
      <c r="K1138" s="111"/>
      <c r="L1138" s="111"/>
      <c r="M1138" s="111"/>
      <c r="N1138" s="111"/>
      <c r="O1138" s="111"/>
      <c r="P1138" s="111"/>
      <c r="Q1138" s="111"/>
      <c r="R1138" s="111"/>
      <c r="S1138" s="111"/>
      <c r="T1138" s="111"/>
      <c r="U1138" s="111"/>
      <c r="V1138" s="111"/>
      <c r="W1138" s="111"/>
      <c r="X1138" s="111"/>
      <c r="Y1138" s="111"/>
      <c r="Z1138" s="111"/>
      <c r="AA1138" s="111"/>
      <c r="AB1138" s="111"/>
      <c r="AC1138" s="111"/>
      <c r="AD1138" s="111"/>
      <c r="AE1138" s="111"/>
      <c r="AF1138" s="111"/>
      <c r="AG1138" s="111"/>
      <c r="AH1138" s="111"/>
      <c r="AI1138" s="111"/>
    </row>
    <row r="1139" spans="1:35" ht="18.75" customHeight="1">
      <c r="A1139" s="168"/>
      <c r="B1139" s="168"/>
      <c r="C1139" s="168"/>
      <c r="D1139" s="111"/>
      <c r="E1139" s="111"/>
      <c r="F1139" s="111"/>
      <c r="G1139" s="111"/>
      <c r="H1139" s="111"/>
      <c r="I1139" s="111"/>
      <c r="J1139" s="111"/>
      <c r="K1139" s="111"/>
      <c r="L1139" s="111"/>
      <c r="M1139" s="111"/>
      <c r="N1139" s="111"/>
      <c r="O1139" s="111"/>
      <c r="P1139" s="111"/>
      <c r="Q1139" s="111"/>
      <c r="R1139" s="111"/>
      <c r="S1139" s="111"/>
      <c r="T1139" s="111"/>
      <c r="U1139" s="111"/>
      <c r="V1139" s="111"/>
      <c r="W1139" s="111"/>
      <c r="X1139" s="111"/>
      <c r="Y1139" s="111"/>
      <c r="Z1139" s="111"/>
      <c r="AA1139" s="111"/>
      <c r="AB1139" s="111"/>
      <c r="AC1139" s="111"/>
      <c r="AD1139" s="111"/>
      <c r="AE1139" s="111"/>
      <c r="AF1139" s="111"/>
      <c r="AG1139" s="111"/>
      <c r="AH1139" s="111"/>
      <c r="AI1139" s="111"/>
    </row>
    <row r="1140" spans="1:35" ht="18.75" customHeight="1">
      <c r="A1140" s="168"/>
      <c r="B1140" s="168"/>
      <c r="C1140" s="168"/>
      <c r="D1140" s="111"/>
      <c r="E1140" s="111"/>
      <c r="F1140" s="111"/>
      <c r="G1140" s="111"/>
      <c r="H1140" s="111"/>
      <c r="I1140" s="111"/>
      <c r="J1140" s="111"/>
      <c r="K1140" s="111"/>
      <c r="L1140" s="111"/>
      <c r="M1140" s="111"/>
      <c r="N1140" s="111"/>
      <c r="O1140" s="111"/>
      <c r="P1140" s="111"/>
      <c r="Q1140" s="111"/>
      <c r="R1140" s="111"/>
      <c r="S1140" s="111"/>
      <c r="T1140" s="111"/>
      <c r="U1140" s="111"/>
      <c r="V1140" s="111"/>
      <c r="W1140" s="111"/>
      <c r="X1140" s="111"/>
      <c r="Y1140" s="111"/>
      <c r="Z1140" s="111"/>
      <c r="AA1140" s="111"/>
      <c r="AB1140" s="111"/>
      <c r="AC1140" s="111"/>
      <c r="AD1140" s="111"/>
      <c r="AE1140" s="111"/>
      <c r="AF1140" s="111"/>
      <c r="AG1140" s="111"/>
      <c r="AH1140" s="111"/>
      <c r="AI1140" s="111"/>
    </row>
    <row r="1141" spans="1:35" ht="18.75" customHeight="1">
      <c r="A1141" s="168"/>
      <c r="B1141" s="168"/>
      <c r="C1141" s="168"/>
      <c r="D1141" s="111"/>
      <c r="E1141" s="111"/>
      <c r="F1141" s="111"/>
      <c r="G1141" s="111"/>
      <c r="H1141" s="111"/>
      <c r="I1141" s="111"/>
      <c r="J1141" s="111"/>
      <c r="K1141" s="111"/>
      <c r="L1141" s="111"/>
      <c r="M1141" s="111"/>
      <c r="N1141" s="111"/>
      <c r="O1141" s="111"/>
      <c r="P1141" s="111"/>
      <c r="Q1141" s="111"/>
      <c r="R1141" s="111"/>
      <c r="S1141" s="111"/>
      <c r="T1141" s="111"/>
      <c r="U1141" s="111"/>
      <c r="V1141" s="111"/>
      <c r="W1141" s="111"/>
      <c r="X1141" s="111"/>
      <c r="Y1141" s="111"/>
      <c r="Z1141" s="111"/>
      <c r="AA1141" s="111"/>
      <c r="AB1141" s="111"/>
      <c r="AC1141" s="111"/>
      <c r="AD1141" s="111"/>
      <c r="AE1141" s="111"/>
      <c r="AF1141" s="111"/>
      <c r="AG1141" s="111"/>
      <c r="AH1141" s="111"/>
      <c r="AI1141" s="111"/>
    </row>
    <row r="1142" spans="1:35" ht="18.75" customHeight="1">
      <c r="A1142" s="168"/>
      <c r="B1142" s="168"/>
      <c r="C1142" s="168"/>
      <c r="D1142" s="111"/>
      <c r="E1142" s="111"/>
      <c r="F1142" s="111"/>
      <c r="G1142" s="111"/>
      <c r="H1142" s="111"/>
      <c r="I1142" s="111"/>
      <c r="J1142" s="111"/>
      <c r="K1142" s="111"/>
      <c r="L1142" s="111"/>
      <c r="M1142" s="111"/>
      <c r="N1142" s="111"/>
      <c r="O1142" s="111"/>
      <c r="P1142" s="111"/>
      <c r="Q1142" s="111"/>
      <c r="R1142" s="111"/>
      <c r="S1142" s="111"/>
      <c r="T1142" s="111"/>
      <c r="U1142" s="111"/>
      <c r="V1142" s="111"/>
      <c r="W1142" s="111"/>
      <c r="X1142" s="111"/>
      <c r="Y1142" s="111"/>
      <c r="Z1142" s="111"/>
      <c r="AA1142" s="111"/>
      <c r="AB1142" s="111"/>
      <c r="AC1142" s="111"/>
      <c r="AD1142" s="111"/>
      <c r="AE1142" s="111"/>
      <c r="AF1142" s="111"/>
      <c r="AG1142" s="111"/>
      <c r="AH1142" s="111"/>
      <c r="AI1142" s="111"/>
    </row>
    <row r="1143" spans="1:35" ht="18.75" customHeight="1">
      <c r="A1143" s="168"/>
      <c r="B1143" s="168"/>
      <c r="C1143" s="168"/>
      <c r="D1143" s="111"/>
      <c r="E1143" s="111"/>
      <c r="F1143" s="111"/>
      <c r="G1143" s="111"/>
      <c r="H1143" s="111"/>
      <c r="I1143" s="111"/>
      <c r="J1143" s="111"/>
      <c r="K1143" s="111"/>
      <c r="L1143" s="111"/>
      <c r="M1143" s="111"/>
      <c r="N1143" s="111"/>
      <c r="O1143" s="111"/>
      <c r="P1143" s="111"/>
      <c r="Q1143" s="111"/>
      <c r="R1143" s="111"/>
      <c r="S1143" s="111"/>
      <c r="T1143" s="111"/>
      <c r="U1143" s="111"/>
      <c r="V1143" s="111"/>
      <c r="W1143" s="111"/>
      <c r="X1143" s="111"/>
      <c r="Y1143" s="111"/>
      <c r="Z1143" s="111"/>
      <c r="AA1143" s="111"/>
      <c r="AB1143" s="111"/>
      <c r="AC1143" s="111"/>
      <c r="AD1143" s="111"/>
      <c r="AE1143" s="111"/>
      <c r="AF1143" s="111"/>
      <c r="AG1143" s="111"/>
      <c r="AH1143" s="111"/>
      <c r="AI1143" s="111"/>
    </row>
    <row r="1144" spans="1:35" ht="18.75" customHeight="1">
      <c r="A1144" s="168"/>
      <c r="B1144" s="168"/>
      <c r="C1144" s="168"/>
      <c r="D1144" s="111"/>
      <c r="E1144" s="111"/>
      <c r="F1144" s="111"/>
      <c r="G1144" s="111"/>
      <c r="H1144" s="111"/>
      <c r="I1144" s="111"/>
      <c r="J1144" s="111"/>
      <c r="K1144" s="111"/>
      <c r="L1144" s="111"/>
      <c r="M1144" s="111"/>
      <c r="N1144" s="111"/>
      <c r="O1144" s="111"/>
      <c r="P1144" s="111"/>
      <c r="Q1144" s="111"/>
      <c r="R1144" s="111"/>
      <c r="S1144" s="111"/>
      <c r="T1144" s="111"/>
      <c r="U1144" s="111"/>
      <c r="V1144" s="111"/>
      <c r="W1144" s="111"/>
      <c r="X1144" s="111"/>
      <c r="Y1144" s="111"/>
      <c r="Z1144" s="111"/>
      <c r="AA1144" s="111"/>
      <c r="AB1144" s="111"/>
      <c r="AC1144" s="111"/>
      <c r="AD1144" s="111"/>
      <c r="AE1144" s="111"/>
      <c r="AF1144" s="111"/>
      <c r="AG1144" s="111"/>
      <c r="AH1144" s="111"/>
      <c r="AI1144" s="111"/>
    </row>
    <row r="1145" spans="1:35" ht="18.75" customHeight="1">
      <c r="A1145" s="168"/>
      <c r="B1145" s="168"/>
      <c r="C1145" s="168"/>
      <c r="D1145" s="111"/>
      <c r="E1145" s="111"/>
      <c r="F1145" s="111"/>
      <c r="G1145" s="111"/>
      <c r="H1145" s="111"/>
      <c r="I1145" s="111"/>
      <c r="J1145" s="111"/>
      <c r="K1145" s="111"/>
      <c r="L1145" s="111"/>
      <c r="M1145" s="111"/>
      <c r="N1145" s="111"/>
      <c r="O1145" s="111"/>
      <c r="P1145" s="111"/>
      <c r="Q1145" s="111"/>
      <c r="R1145" s="111"/>
      <c r="S1145" s="111"/>
      <c r="T1145" s="111"/>
      <c r="U1145" s="111"/>
      <c r="V1145" s="111"/>
      <c r="W1145" s="111"/>
      <c r="X1145" s="111"/>
      <c r="Y1145" s="111"/>
      <c r="Z1145" s="111"/>
      <c r="AA1145" s="111"/>
      <c r="AB1145" s="111"/>
      <c r="AC1145" s="111"/>
      <c r="AD1145" s="111"/>
      <c r="AE1145" s="111"/>
      <c r="AF1145" s="111"/>
      <c r="AG1145" s="111"/>
      <c r="AH1145" s="111"/>
      <c r="AI1145" s="111"/>
    </row>
    <row r="1146" spans="1:35" ht="18.75" customHeight="1">
      <c r="A1146" s="168"/>
      <c r="B1146" s="168"/>
      <c r="C1146" s="168"/>
      <c r="D1146" s="111"/>
      <c r="E1146" s="111"/>
      <c r="F1146" s="111"/>
      <c r="G1146" s="111"/>
      <c r="H1146" s="111"/>
      <c r="I1146" s="111"/>
      <c r="J1146" s="111"/>
      <c r="K1146" s="111"/>
      <c r="L1146" s="111"/>
      <c r="M1146" s="111"/>
      <c r="N1146" s="111"/>
      <c r="O1146" s="111"/>
      <c r="P1146" s="111"/>
      <c r="Q1146" s="111"/>
      <c r="R1146" s="111"/>
      <c r="S1146" s="111"/>
      <c r="T1146" s="111"/>
      <c r="U1146" s="111"/>
      <c r="V1146" s="111"/>
      <c r="W1146" s="111"/>
      <c r="X1146" s="111"/>
      <c r="Y1146" s="111"/>
      <c r="Z1146" s="111"/>
      <c r="AA1146" s="111"/>
      <c r="AB1146" s="111"/>
      <c r="AC1146" s="111"/>
      <c r="AD1146" s="111"/>
      <c r="AE1146" s="111"/>
      <c r="AF1146" s="111"/>
      <c r="AG1146" s="111"/>
      <c r="AH1146" s="111"/>
      <c r="AI1146" s="111"/>
    </row>
    <row r="1147" spans="1:35" ht="18.75" customHeight="1">
      <c r="A1147" s="168"/>
      <c r="B1147" s="168"/>
      <c r="C1147" s="168"/>
      <c r="D1147" s="111"/>
      <c r="E1147" s="111"/>
      <c r="F1147" s="111"/>
      <c r="G1147" s="111"/>
      <c r="H1147" s="111"/>
      <c r="I1147" s="111"/>
      <c r="J1147" s="111"/>
      <c r="K1147" s="111"/>
      <c r="L1147" s="111"/>
      <c r="M1147" s="111"/>
      <c r="N1147" s="111"/>
      <c r="O1147" s="111"/>
      <c r="P1147" s="111"/>
      <c r="Q1147" s="111"/>
      <c r="R1147" s="111"/>
      <c r="S1147" s="111"/>
      <c r="T1147" s="111"/>
      <c r="U1147" s="111"/>
      <c r="V1147" s="111"/>
      <c r="W1147" s="111"/>
      <c r="X1147" s="111"/>
      <c r="Y1147" s="111"/>
      <c r="Z1147" s="111"/>
      <c r="AA1147" s="111"/>
      <c r="AB1147" s="111"/>
      <c r="AC1147" s="111"/>
      <c r="AD1147" s="111"/>
      <c r="AE1147" s="111"/>
      <c r="AF1147" s="111"/>
      <c r="AG1147" s="111"/>
      <c r="AH1147" s="111"/>
      <c r="AI1147" s="111"/>
    </row>
    <row r="1148" spans="1:35" ht="18.75" customHeight="1">
      <c r="A1148" s="168"/>
      <c r="B1148" s="168"/>
      <c r="C1148" s="168"/>
      <c r="D1148" s="111"/>
      <c r="E1148" s="111"/>
      <c r="F1148" s="111"/>
      <c r="G1148" s="111"/>
      <c r="H1148" s="111"/>
      <c r="I1148" s="111"/>
      <c r="J1148" s="111"/>
      <c r="K1148" s="111"/>
      <c r="L1148" s="111"/>
      <c r="M1148" s="111"/>
      <c r="N1148" s="111"/>
      <c r="O1148" s="111"/>
      <c r="P1148" s="111"/>
      <c r="Q1148" s="111"/>
      <c r="R1148" s="111"/>
      <c r="S1148" s="111"/>
      <c r="T1148" s="111"/>
      <c r="U1148" s="111"/>
      <c r="V1148" s="111"/>
      <c r="W1148" s="111"/>
      <c r="X1148" s="111"/>
      <c r="Y1148" s="111"/>
      <c r="Z1148" s="111"/>
      <c r="AA1148" s="111"/>
      <c r="AB1148" s="111"/>
      <c r="AC1148" s="111"/>
      <c r="AD1148" s="111"/>
      <c r="AE1148" s="111"/>
      <c r="AF1148" s="111"/>
      <c r="AG1148" s="111"/>
      <c r="AH1148" s="111"/>
      <c r="AI1148" s="111"/>
    </row>
    <row r="1149" spans="1:35" ht="18.75" customHeight="1">
      <c r="A1149" s="168"/>
      <c r="B1149" s="168"/>
      <c r="C1149" s="168"/>
      <c r="D1149" s="111"/>
      <c r="E1149" s="111"/>
      <c r="F1149" s="111"/>
      <c r="G1149" s="111"/>
      <c r="H1149" s="111"/>
      <c r="I1149" s="111"/>
      <c r="J1149" s="111"/>
      <c r="K1149" s="111"/>
      <c r="L1149" s="111"/>
      <c r="M1149" s="111"/>
      <c r="N1149" s="111"/>
      <c r="O1149" s="111"/>
      <c r="P1149" s="111"/>
      <c r="Q1149" s="111"/>
      <c r="R1149" s="111"/>
      <c r="S1149" s="111"/>
      <c r="T1149" s="111"/>
      <c r="U1149" s="111"/>
      <c r="V1149" s="111"/>
      <c r="W1149" s="111"/>
      <c r="X1149" s="111"/>
      <c r="Y1149" s="111"/>
      <c r="Z1149" s="111"/>
      <c r="AA1149" s="111"/>
      <c r="AB1149" s="111"/>
      <c r="AC1149" s="111"/>
      <c r="AD1149" s="111"/>
      <c r="AE1149" s="111"/>
      <c r="AF1149" s="111"/>
      <c r="AG1149" s="111"/>
      <c r="AH1149" s="111"/>
      <c r="AI1149" s="111"/>
    </row>
    <row r="1150" spans="1:35" ht="18.75" customHeight="1">
      <c r="A1150" s="168"/>
      <c r="B1150" s="168"/>
      <c r="C1150" s="168"/>
      <c r="D1150" s="111"/>
      <c r="E1150" s="111"/>
      <c r="F1150" s="111"/>
      <c r="G1150" s="111"/>
      <c r="H1150" s="111"/>
      <c r="I1150" s="111"/>
      <c r="J1150" s="111"/>
      <c r="K1150" s="111"/>
      <c r="L1150" s="111"/>
      <c r="M1150" s="111"/>
      <c r="N1150" s="111"/>
      <c r="O1150" s="111"/>
      <c r="P1150" s="111"/>
      <c r="Q1150" s="111"/>
      <c r="R1150" s="111"/>
      <c r="S1150" s="111"/>
      <c r="T1150" s="111"/>
      <c r="U1150" s="111"/>
      <c r="V1150" s="111"/>
      <c r="W1150" s="111"/>
      <c r="X1150" s="111"/>
      <c r="Y1150" s="111"/>
      <c r="Z1150" s="111"/>
      <c r="AA1150" s="111"/>
      <c r="AB1150" s="111"/>
      <c r="AC1150" s="111"/>
      <c r="AD1150" s="111"/>
      <c r="AE1150" s="111"/>
      <c r="AF1150" s="111"/>
      <c r="AG1150" s="111"/>
      <c r="AH1150" s="111"/>
      <c r="AI1150" s="111"/>
    </row>
    <row r="1151" spans="1:35" ht="18.75" customHeight="1">
      <c r="A1151" s="168"/>
      <c r="B1151" s="168"/>
      <c r="C1151" s="168"/>
      <c r="D1151" s="111"/>
      <c r="E1151" s="111"/>
      <c r="F1151" s="111"/>
      <c r="G1151" s="111"/>
      <c r="H1151" s="111"/>
      <c r="I1151" s="111"/>
      <c r="J1151" s="111"/>
      <c r="K1151" s="111"/>
      <c r="L1151" s="111"/>
      <c r="M1151" s="111"/>
      <c r="N1151" s="111"/>
      <c r="O1151" s="111"/>
      <c r="P1151" s="111"/>
      <c r="Q1151" s="111"/>
      <c r="R1151" s="111"/>
      <c r="S1151" s="111"/>
      <c r="T1151" s="111"/>
      <c r="U1151" s="111"/>
      <c r="V1151" s="111"/>
      <c r="W1151" s="111"/>
      <c r="X1151" s="111"/>
      <c r="Y1151" s="111"/>
      <c r="Z1151" s="111"/>
      <c r="AA1151" s="111"/>
      <c r="AB1151" s="111"/>
      <c r="AC1151" s="111"/>
      <c r="AD1151" s="111"/>
      <c r="AE1151" s="111"/>
      <c r="AF1151" s="111"/>
      <c r="AG1151" s="111"/>
      <c r="AH1151" s="111"/>
      <c r="AI1151" s="111"/>
    </row>
    <row r="1152" spans="1:35" ht="18.75" customHeight="1">
      <c r="A1152" s="168"/>
      <c r="B1152" s="168"/>
      <c r="C1152" s="168"/>
      <c r="D1152" s="111"/>
      <c r="E1152" s="111"/>
      <c r="F1152" s="111"/>
      <c r="G1152" s="111"/>
      <c r="H1152" s="111"/>
      <c r="I1152" s="111"/>
      <c r="J1152" s="111"/>
      <c r="K1152" s="111"/>
      <c r="L1152" s="111"/>
      <c r="M1152" s="111"/>
      <c r="N1152" s="111"/>
      <c r="O1152" s="111"/>
      <c r="P1152" s="111"/>
      <c r="Q1152" s="111"/>
      <c r="R1152" s="111"/>
      <c r="S1152" s="111"/>
      <c r="T1152" s="111"/>
      <c r="U1152" s="111"/>
      <c r="V1152" s="111"/>
      <c r="W1152" s="111"/>
      <c r="X1152" s="111"/>
      <c r="Y1152" s="111"/>
      <c r="Z1152" s="111"/>
      <c r="AA1152" s="111"/>
      <c r="AB1152" s="111"/>
      <c r="AC1152" s="111"/>
      <c r="AD1152" s="111"/>
      <c r="AE1152" s="111"/>
      <c r="AF1152" s="111"/>
      <c r="AG1152" s="111"/>
      <c r="AH1152" s="111"/>
      <c r="AI1152" s="111"/>
    </row>
    <row r="1153" spans="1:35" ht="18.75" customHeight="1">
      <c r="A1153" s="168"/>
      <c r="B1153" s="168"/>
      <c r="C1153" s="168"/>
      <c r="D1153" s="111"/>
      <c r="E1153" s="111"/>
      <c r="F1153" s="111"/>
      <c r="G1153" s="111"/>
      <c r="H1153" s="111"/>
      <c r="I1153" s="111"/>
      <c r="J1153" s="111"/>
      <c r="K1153" s="111"/>
      <c r="L1153" s="111"/>
      <c r="M1153" s="111"/>
      <c r="N1153" s="111"/>
      <c r="O1153" s="111"/>
      <c r="P1153" s="111"/>
      <c r="Q1153" s="111"/>
      <c r="R1153" s="111"/>
      <c r="S1153" s="111"/>
      <c r="T1153" s="111"/>
      <c r="U1153" s="111"/>
      <c r="V1153" s="111"/>
      <c r="W1153" s="111"/>
      <c r="X1153" s="111"/>
      <c r="Y1153" s="111"/>
      <c r="Z1153" s="111"/>
      <c r="AA1153" s="111"/>
      <c r="AB1153" s="111"/>
      <c r="AC1153" s="111"/>
      <c r="AD1153" s="111"/>
      <c r="AE1153" s="111"/>
      <c r="AF1153" s="111"/>
      <c r="AG1153" s="111"/>
      <c r="AH1153" s="111"/>
      <c r="AI1153" s="111"/>
    </row>
    <row r="1154" spans="1:35" ht="18.75" customHeight="1">
      <c r="A1154" s="168"/>
      <c r="B1154" s="168"/>
      <c r="C1154" s="168"/>
      <c r="D1154" s="111"/>
      <c r="E1154" s="111"/>
      <c r="F1154" s="111"/>
      <c r="G1154" s="111"/>
      <c r="H1154" s="111"/>
      <c r="I1154" s="111"/>
      <c r="J1154" s="111"/>
      <c r="K1154" s="111"/>
      <c r="L1154" s="111"/>
      <c r="M1154" s="111"/>
      <c r="N1154" s="111"/>
      <c r="O1154" s="111"/>
      <c r="P1154" s="111"/>
      <c r="Q1154" s="111"/>
      <c r="R1154" s="111"/>
      <c r="S1154" s="111"/>
      <c r="T1154" s="111"/>
      <c r="U1154" s="111"/>
      <c r="V1154" s="111"/>
      <c r="W1154" s="111"/>
      <c r="X1154" s="111"/>
      <c r="Y1154" s="111"/>
      <c r="Z1154" s="111"/>
      <c r="AA1154" s="111"/>
      <c r="AB1154" s="111"/>
      <c r="AC1154" s="111"/>
      <c r="AD1154" s="111"/>
      <c r="AE1154" s="111"/>
      <c r="AF1154" s="111"/>
      <c r="AG1154" s="111"/>
      <c r="AH1154" s="111"/>
      <c r="AI1154" s="111"/>
    </row>
    <row r="1155" spans="1:35" ht="18.75" customHeight="1">
      <c r="A1155" s="168"/>
      <c r="B1155" s="168"/>
      <c r="C1155" s="168"/>
      <c r="D1155" s="111"/>
      <c r="E1155" s="111"/>
      <c r="F1155" s="111"/>
      <c r="G1155" s="111"/>
      <c r="H1155" s="111"/>
      <c r="I1155" s="111"/>
      <c r="J1155" s="111"/>
      <c r="K1155" s="111"/>
      <c r="L1155" s="111"/>
      <c r="M1155" s="111"/>
      <c r="N1155" s="111"/>
      <c r="O1155" s="111"/>
      <c r="P1155" s="111"/>
      <c r="Q1155" s="111"/>
      <c r="R1155" s="111"/>
      <c r="S1155" s="111"/>
      <c r="T1155" s="111"/>
      <c r="U1155" s="111"/>
      <c r="V1155" s="111"/>
      <c r="W1155" s="111"/>
      <c r="X1155" s="111"/>
      <c r="Y1155" s="111"/>
      <c r="Z1155" s="111"/>
      <c r="AA1155" s="111"/>
      <c r="AB1155" s="111"/>
      <c r="AC1155" s="111"/>
      <c r="AD1155" s="111"/>
      <c r="AE1155" s="111"/>
      <c r="AF1155" s="111"/>
      <c r="AG1155" s="111"/>
      <c r="AH1155" s="111"/>
      <c r="AI1155" s="111"/>
    </row>
    <row r="1156" spans="1:35" ht="18.75" customHeight="1">
      <c r="A1156" s="168"/>
      <c r="B1156" s="168"/>
      <c r="C1156" s="168"/>
      <c r="D1156" s="111"/>
      <c r="E1156" s="111"/>
      <c r="F1156" s="111"/>
      <c r="G1156" s="111"/>
      <c r="H1156" s="111"/>
      <c r="I1156" s="111"/>
      <c r="J1156" s="111"/>
      <c r="K1156" s="111"/>
      <c r="L1156" s="111"/>
      <c r="M1156" s="111"/>
      <c r="N1156" s="111"/>
      <c r="O1156" s="111"/>
      <c r="P1156" s="111"/>
      <c r="Q1156" s="111"/>
      <c r="R1156" s="111"/>
      <c r="S1156" s="111"/>
      <c r="T1156" s="111"/>
      <c r="U1156" s="111"/>
      <c r="V1156" s="111"/>
      <c r="W1156" s="111"/>
      <c r="X1156" s="111"/>
      <c r="Y1156" s="111"/>
      <c r="Z1156" s="111"/>
      <c r="AA1156" s="111"/>
      <c r="AB1156" s="111"/>
      <c r="AC1156" s="111"/>
      <c r="AD1156" s="111"/>
      <c r="AE1156" s="111"/>
      <c r="AF1156" s="111"/>
      <c r="AG1156" s="111"/>
      <c r="AH1156" s="111"/>
      <c r="AI1156" s="111"/>
    </row>
    <row r="1157" spans="1:35" ht="18.75" customHeight="1">
      <c r="A1157" s="168"/>
      <c r="B1157" s="168"/>
      <c r="C1157" s="168"/>
      <c r="D1157" s="111"/>
      <c r="E1157" s="111"/>
      <c r="F1157" s="111"/>
      <c r="G1157" s="111"/>
      <c r="H1157" s="111"/>
      <c r="I1157" s="111"/>
      <c r="J1157" s="111"/>
      <c r="K1157" s="111"/>
      <c r="L1157" s="111"/>
      <c r="M1157" s="111"/>
      <c r="N1157" s="111"/>
      <c r="O1157" s="111"/>
      <c r="P1157" s="111"/>
      <c r="Q1157" s="111"/>
      <c r="R1157" s="111"/>
      <c r="S1157" s="111"/>
      <c r="T1157" s="111"/>
      <c r="U1157" s="111"/>
      <c r="V1157" s="111"/>
      <c r="W1157" s="111"/>
      <c r="X1157" s="111"/>
      <c r="Y1157" s="111"/>
      <c r="Z1157" s="111"/>
      <c r="AA1157" s="111"/>
      <c r="AB1157" s="111"/>
      <c r="AC1157" s="111"/>
      <c r="AD1157" s="111"/>
      <c r="AE1157" s="111"/>
      <c r="AF1157" s="111"/>
      <c r="AG1157" s="111"/>
      <c r="AH1157" s="111"/>
      <c r="AI1157" s="111"/>
    </row>
    <row r="1158" spans="1:35" ht="18.75" customHeight="1">
      <c r="A1158" s="168"/>
      <c r="B1158" s="168"/>
      <c r="C1158" s="168"/>
      <c r="D1158" s="111"/>
      <c r="E1158" s="111"/>
      <c r="F1158" s="111"/>
      <c r="G1158" s="111"/>
      <c r="H1158" s="111"/>
      <c r="I1158" s="111"/>
      <c r="J1158" s="111"/>
      <c r="K1158" s="111"/>
      <c r="L1158" s="111"/>
      <c r="M1158" s="111"/>
      <c r="N1158" s="111"/>
      <c r="O1158" s="111"/>
      <c r="P1158" s="111"/>
      <c r="Q1158" s="111"/>
      <c r="R1158" s="111"/>
      <c r="S1158" s="111"/>
      <c r="T1158" s="111"/>
      <c r="U1158" s="111"/>
      <c r="V1158" s="111"/>
      <c r="W1158" s="111"/>
      <c r="X1158" s="111"/>
      <c r="Y1158" s="111"/>
      <c r="Z1158" s="111"/>
      <c r="AA1158" s="111"/>
      <c r="AB1158" s="111"/>
      <c r="AC1158" s="111"/>
      <c r="AD1158" s="111"/>
      <c r="AE1158" s="111"/>
      <c r="AF1158" s="111"/>
      <c r="AG1158" s="111"/>
      <c r="AH1158" s="111"/>
      <c r="AI1158" s="111"/>
    </row>
    <row r="1159" spans="1:35" ht="18.75" customHeight="1">
      <c r="A1159" s="168"/>
      <c r="B1159" s="168"/>
      <c r="C1159" s="168"/>
      <c r="D1159" s="111"/>
      <c r="E1159" s="111"/>
      <c r="F1159" s="111"/>
      <c r="G1159" s="111"/>
      <c r="H1159" s="111"/>
      <c r="I1159" s="111"/>
      <c r="J1159" s="111"/>
      <c r="K1159" s="111"/>
      <c r="L1159" s="111"/>
      <c r="M1159" s="111"/>
      <c r="N1159" s="111"/>
      <c r="O1159" s="111"/>
      <c r="P1159" s="111"/>
      <c r="Q1159" s="111"/>
      <c r="R1159" s="111"/>
      <c r="S1159" s="111"/>
      <c r="T1159" s="111"/>
      <c r="U1159" s="111"/>
      <c r="V1159" s="111"/>
      <c r="W1159" s="111"/>
      <c r="X1159" s="111"/>
      <c r="Y1159" s="111"/>
      <c r="Z1159" s="111"/>
      <c r="AA1159" s="111"/>
      <c r="AB1159" s="111"/>
      <c r="AC1159" s="111"/>
      <c r="AD1159" s="111"/>
      <c r="AE1159" s="111"/>
      <c r="AF1159" s="111"/>
      <c r="AG1159" s="111"/>
      <c r="AH1159" s="111"/>
      <c r="AI1159" s="111"/>
    </row>
    <row r="1160" spans="1:35" ht="18.75" customHeight="1">
      <c r="A1160" s="168"/>
      <c r="B1160" s="168"/>
      <c r="C1160" s="168"/>
      <c r="D1160" s="111"/>
      <c r="E1160" s="111"/>
      <c r="F1160" s="111"/>
      <c r="G1160" s="111"/>
      <c r="H1160" s="111"/>
      <c r="I1160" s="111"/>
      <c r="J1160" s="111"/>
      <c r="K1160" s="111"/>
      <c r="L1160" s="111"/>
      <c r="M1160" s="111"/>
      <c r="N1160" s="111"/>
      <c r="O1160" s="111"/>
      <c r="P1160" s="111"/>
      <c r="Q1160" s="111"/>
      <c r="R1160" s="111"/>
      <c r="S1160" s="111"/>
      <c r="T1160" s="111"/>
      <c r="U1160" s="111"/>
      <c r="V1160" s="111"/>
      <c r="W1160" s="111"/>
      <c r="X1160" s="111"/>
      <c r="Y1160" s="111"/>
      <c r="Z1160" s="111"/>
      <c r="AA1160" s="111"/>
      <c r="AB1160" s="111"/>
      <c r="AC1160" s="111"/>
      <c r="AD1160" s="111"/>
      <c r="AE1160" s="111"/>
      <c r="AF1160" s="111"/>
      <c r="AG1160" s="111"/>
      <c r="AH1160" s="111"/>
      <c r="AI1160" s="111"/>
    </row>
    <row r="1161" spans="1:35" ht="18.75" customHeight="1">
      <c r="A1161" s="168"/>
      <c r="B1161" s="168"/>
      <c r="C1161" s="168"/>
      <c r="D1161" s="111"/>
      <c r="E1161" s="111"/>
      <c r="F1161" s="111"/>
      <c r="G1161" s="111"/>
      <c r="H1161" s="111"/>
      <c r="I1161" s="111"/>
      <c r="J1161" s="111"/>
      <c r="K1161" s="111"/>
      <c r="L1161" s="111"/>
      <c r="M1161" s="111"/>
      <c r="N1161" s="111"/>
      <c r="O1161" s="111"/>
      <c r="P1161" s="111"/>
      <c r="Q1161" s="111"/>
      <c r="R1161" s="111"/>
      <c r="S1161" s="111"/>
      <c r="T1161" s="111"/>
      <c r="U1161" s="111"/>
      <c r="V1161" s="111"/>
      <c r="W1161" s="111"/>
      <c r="X1161" s="111"/>
      <c r="Y1161" s="111"/>
      <c r="Z1161" s="111"/>
      <c r="AA1161" s="111"/>
      <c r="AB1161" s="111"/>
      <c r="AC1161" s="111"/>
      <c r="AD1161" s="111"/>
      <c r="AE1161" s="111"/>
      <c r="AF1161" s="111"/>
      <c r="AG1161" s="111"/>
      <c r="AH1161" s="111"/>
      <c r="AI1161" s="111"/>
    </row>
    <row r="1162" spans="1:35" ht="18.75" customHeight="1">
      <c r="A1162" s="168"/>
      <c r="B1162" s="168"/>
      <c r="C1162" s="168"/>
      <c r="D1162" s="111"/>
      <c r="E1162" s="111"/>
      <c r="F1162" s="111"/>
      <c r="G1162" s="111"/>
      <c r="H1162" s="111"/>
      <c r="I1162" s="111"/>
      <c r="J1162" s="111"/>
      <c r="K1162" s="111"/>
      <c r="L1162" s="111"/>
      <c r="M1162" s="111"/>
      <c r="N1162" s="111"/>
      <c r="O1162" s="111"/>
      <c r="P1162" s="111"/>
      <c r="Q1162" s="111"/>
      <c r="R1162" s="111"/>
      <c r="S1162" s="111"/>
      <c r="T1162" s="111"/>
      <c r="U1162" s="111"/>
      <c r="V1162" s="111"/>
      <c r="W1162" s="111"/>
      <c r="X1162" s="111"/>
      <c r="Y1162" s="111"/>
      <c r="Z1162" s="111"/>
      <c r="AA1162" s="111"/>
      <c r="AB1162" s="111"/>
      <c r="AC1162" s="111"/>
      <c r="AD1162" s="111"/>
      <c r="AE1162" s="111"/>
      <c r="AF1162" s="111"/>
      <c r="AG1162" s="111"/>
      <c r="AH1162" s="111"/>
      <c r="AI1162" s="111"/>
    </row>
    <row r="1163" spans="1:35" ht="18.75" customHeight="1">
      <c r="A1163" s="168"/>
      <c r="B1163" s="168"/>
      <c r="C1163" s="168"/>
      <c r="D1163" s="111"/>
      <c r="E1163" s="111"/>
      <c r="F1163" s="111"/>
      <c r="G1163" s="111"/>
      <c r="H1163" s="111"/>
      <c r="I1163" s="111"/>
      <c r="J1163" s="111"/>
      <c r="K1163" s="111"/>
      <c r="L1163" s="111"/>
      <c r="M1163" s="111"/>
      <c r="N1163" s="111"/>
      <c r="O1163" s="111"/>
      <c r="P1163" s="111"/>
      <c r="Q1163" s="111"/>
      <c r="R1163" s="111"/>
      <c r="S1163" s="111"/>
      <c r="T1163" s="111"/>
      <c r="U1163" s="111"/>
      <c r="V1163" s="111"/>
      <c r="W1163" s="111"/>
      <c r="X1163" s="111"/>
      <c r="Y1163" s="111"/>
      <c r="Z1163" s="111"/>
      <c r="AA1163" s="111"/>
      <c r="AB1163" s="111"/>
      <c r="AC1163" s="111"/>
      <c r="AD1163" s="111"/>
      <c r="AE1163" s="111"/>
      <c r="AF1163" s="111"/>
      <c r="AG1163" s="111"/>
      <c r="AH1163" s="111"/>
      <c r="AI1163" s="111"/>
    </row>
    <row r="1164" spans="1:35" ht="18.75" customHeight="1">
      <c r="A1164" s="168"/>
      <c r="B1164" s="168"/>
      <c r="C1164" s="168"/>
      <c r="D1164" s="111"/>
      <c r="E1164" s="111"/>
      <c r="F1164" s="111"/>
      <c r="G1164" s="111"/>
      <c r="H1164" s="111"/>
      <c r="I1164" s="111"/>
      <c r="J1164" s="111"/>
      <c r="K1164" s="111"/>
      <c r="L1164" s="111"/>
      <c r="M1164" s="111"/>
      <c r="N1164" s="111"/>
      <c r="O1164" s="111"/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/>
      <c r="AB1164" s="111"/>
      <c r="AC1164" s="111"/>
      <c r="AD1164" s="111"/>
      <c r="AE1164" s="111"/>
      <c r="AF1164" s="111"/>
      <c r="AG1164" s="111"/>
      <c r="AH1164" s="111"/>
      <c r="AI1164" s="111"/>
    </row>
    <row r="1165" spans="1:35" ht="18.75" customHeight="1">
      <c r="A1165" s="168"/>
      <c r="B1165" s="168"/>
      <c r="C1165" s="168"/>
      <c r="D1165" s="111"/>
      <c r="E1165" s="111"/>
      <c r="F1165" s="111"/>
      <c r="G1165" s="111"/>
      <c r="H1165" s="111"/>
      <c r="I1165" s="111"/>
      <c r="J1165" s="111"/>
      <c r="K1165" s="111"/>
      <c r="L1165" s="111"/>
      <c r="M1165" s="111"/>
      <c r="N1165" s="111"/>
      <c r="O1165" s="111"/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/>
      <c r="AB1165" s="111"/>
      <c r="AC1165" s="111"/>
      <c r="AD1165" s="111"/>
      <c r="AE1165" s="111"/>
      <c r="AF1165" s="111"/>
      <c r="AG1165" s="111"/>
      <c r="AH1165" s="111"/>
      <c r="AI1165" s="111"/>
    </row>
    <row r="1166" spans="1:35" ht="18.75" customHeight="1">
      <c r="A1166" s="168"/>
      <c r="B1166" s="168"/>
      <c r="C1166" s="168"/>
      <c r="D1166" s="111"/>
      <c r="E1166" s="111"/>
      <c r="F1166" s="111"/>
      <c r="G1166" s="111"/>
      <c r="H1166" s="111"/>
      <c r="I1166" s="111"/>
      <c r="J1166" s="111"/>
      <c r="K1166" s="111"/>
      <c r="L1166" s="111"/>
      <c r="M1166" s="111"/>
      <c r="N1166" s="111"/>
      <c r="O1166" s="111"/>
      <c r="P1166" s="111"/>
      <c r="Q1166" s="111"/>
      <c r="R1166" s="111"/>
      <c r="S1166" s="111"/>
      <c r="T1166" s="111"/>
      <c r="U1166" s="111"/>
      <c r="V1166" s="111"/>
      <c r="W1166" s="111"/>
      <c r="X1166" s="111"/>
      <c r="Y1166" s="111"/>
      <c r="Z1166" s="111"/>
      <c r="AA1166" s="111"/>
      <c r="AB1166" s="111"/>
      <c r="AC1166" s="111"/>
      <c r="AD1166" s="111"/>
      <c r="AE1166" s="111"/>
      <c r="AF1166" s="111"/>
      <c r="AG1166" s="111"/>
      <c r="AH1166" s="111"/>
      <c r="AI1166" s="111"/>
    </row>
    <row r="1167" spans="1:35" ht="18.75" customHeight="1">
      <c r="A1167" s="168"/>
      <c r="B1167" s="168"/>
      <c r="C1167" s="168"/>
      <c r="D1167" s="111"/>
      <c r="E1167" s="111"/>
      <c r="F1167" s="111"/>
      <c r="G1167" s="111"/>
      <c r="H1167" s="111"/>
      <c r="I1167" s="111"/>
      <c r="J1167" s="111"/>
      <c r="K1167" s="111"/>
      <c r="L1167" s="111"/>
      <c r="M1167" s="111"/>
      <c r="N1167" s="111"/>
      <c r="O1167" s="111"/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/>
      <c r="AB1167" s="111"/>
      <c r="AC1167" s="111"/>
      <c r="AD1167" s="111"/>
      <c r="AE1167" s="111"/>
      <c r="AF1167" s="111"/>
      <c r="AG1167" s="111"/>
      <c r="AH1167" s="111"/>
      <c r="AI1167" s="111"/>
    </row>
    <row r="1168" spans="1:35" ht="18.75" customHeight="1">
      <c r="A1168" s="168"/>
      <c r="B1168" s="168"/>
      <c r="C1168" s="168"/>
      <c r="D1168" s="111"/>
      <c r="E1168" s="111"/>
      <c r="F1168" s="111"/>
      <c r="G1168" s="111"/>
      <c r="H1168" s="111"/>
      <c r="I1168" s="111"/>
      <c r="J1168" s="111"/>
      <c r="K1168" s="111"/>
      <c r="L1168" s="111"/>
      <c r="M1168" s="111"/>
      <c r="N1168" s="111"/>
      <c r="O1168" s="111"/>
      <c r="P1168" s="111"/>
      <c r="Q1168" s="111"/>
      <c r="R1168" s="111"/>
      <c r="S1168" s="111"/>
      <c r="T1168" s="111"/>
      <c r="U1168" s="111"/>
      <c r="V1168" s="111"/>
      <c r="W1168" s="111"/>
      <c r="X1168" s="111"/>
      <c r="Y1168" s="111"/>
      <c r="Z1168" s="111"/>
      <c r="AA1168" s="111"/>
      <c r="AB1168" s="111"/>
      <c r="AC1168" s="111"/>
      <c r="AD1168" s="111"/>
      <c r="AE1168" s="111"/>
      <c r="AF1168" s="111"/>
      <c r="AG1168" s="111"/>
      <c r="AH1168" s="111"/>
      <c r="AI1168" s="111"/>
    </row>
    <row r="1169" spans="1:35" ht="18.75" customHeight="1">
      <c r="A1169" s="168"/>
      <c r="B1169" s="168"/>
      <c r="C1169" s="168"/>
      <c r="D1169" s="111"/>
      <c r="E1169" s="111"/>
      <c r="F1169" s="111"/>
      <c r="G1169" s="111"/>
      <c r="H1169" s="111"/>
      <c r="I1169" s="111"/>
      <c r="J1169" s="111"/>
      <c r="K1169" s="111"/>
      <c r="L1169" s="111"/>
      <c r="M1169" s="111"/>
      <c r="N1169" s="111"/>
      <c r="O1169" s="111"/>
      <c r="P1169" s="111"/>
      <c r="Q1169" s="111"/>
      <c r="R1169" s="111"/>
      <c r="S1169" s="111"/>
      <c r="T1169" s="111"/>
      <c r="U1169" s="111"/>
      <c r="V1169" s="111"/>
      <c r="W1169" s="111"/>
      <c r="X1169" s="111"/>
      <c r="Y1169" s="111"/>
      <c r="Z1169" s="111"/>
      <c r="AA1169" s="111"/>
      <c r="AB1169" s="111"/>
      <c r="AC1169" s="111"/>
      <c r="AD1169" s="111"/>
      <c r="AE1169" s="111"/>
      <c r="AF1169" s="111"/>
      <c r="AG1169" s="111"/>
      <c r="AH1169" s="111"/>
      <c r="AI1169" s="111"/>
    </row>
    <row r="1170" spans="1:35" ht="18.75" customHeight="1">
      <c r="A1170" s="168"/>
      <c r="B1170" s="168"/>
      <c r="C1170" s="168"/>
      <c r="D1170" s="111"/>
      <c r="E1170" s="111"/>
      <c r="F1170" s="111"/>
      <c r="G1170" s="111"/>
      <c r="H1170" s="111"/>
      <c r="I1170" s="111"/>
      <c r="J1170" s="111"/>
      <c r="K1170" s="111"/>
      <c r="L1170" s="111"/>
      <c r="M1170" s="111"/>
      <c r="N1170" s="111"/>
      <c r="O1170" s="111"/>
      <c r="P1170" s="111"/>
      <c r="Q1170" s="111"/>
      <c r="R1170" s="111"/>
      <c r="S1170" s="111"/>
      <c r="T1170" s="111"/>
      <c r="U1170" s="111"/>
      <c r="V1170" s="111"/>
      <c r="W1170" s="111"/>
      <c r="X1170" s="111"/>
      <c r="Y1170" s="111"/>
      <c r="Z1170" s="111"/>
      <c r="AA1170" s="111"/>
      <c r="AB1170" s="111"/>
      <c r="AC1170" s="111"/>
      <c r="AD1170" s="111"/>
      <c r="AE1170" s="111"/>
      <c r="AF1170" s="111"/>
      <c r="AG1170" s="111"/>
      <c r="AH1170" s="111"/>
      <c r="AI1170" s="111"/>
    </row>
    <row r="1171" spans="1:35" ht="18.75" customHeight="1">
      <c r="A1171" s="168"/>
      <c r="B1171" s="168"/>
      <c r="C1171" s="168"/>
      <c r="D1171" s="111"/>
      <c r="E1171" s="111"/>
      <c r="F1171" s="111"/>
      <c r="G1171" s="111"/>
      <c r="H1171" s="111"/>
      <c r="I1171" s="111"/>
      <c r="J1171" s="111"/>
      <c r="K1171" s="111"/>
      <c r="L1171" s="111"/>
      <c r="M1171" s="111"/>
      <c r="N1171" s="111"/>
      <c r="O1171" s="111"/>
      <c r="P1171" s="111"/>
      <c r="Q1171" s="111"/>
      <c r="R1171" s="111"/>
      <c r="S1171" s="111"/>
      <c r="T1171" s="111"/>
      <c r="U1171" s="111"/>
      <c r="V1171" s="111"/>
      <c r="W1171" s="111"/>
      <c r="X1171" s="111"/>
      <c r="Y1171" s="111"/>
      <c r="Z1171" s="111"/>
      <c r="AA1171" s="111"/>
      <c r="AB1171" s="111"/>
      <c r="AC1171" s="111"/>
      <c r="AD1171" s="111"/>
      <c r="AE1171" s="111"/>
      <c r="AF1171" s="111"/>
      <c r="AG1171" s="111"/>
      <c r="AH1171" s="111"/>
      <c r="AI1171" s="111"/>
    </row>
    <row r="1172" spans="1:35" ht="18.75" customHeight="1">
      <c r="A1172" s="168"/>
      <c r="B1172" s="168"/>
      <c r="C1172" s="168"/>
      <c r="D1172" s="111"/>
      <c r="E1172" s="111"/>
      <c r="F1172" s="111"/>
      <c r="G1172" s="111"/>
      <c r="H1172" s="111"/>
      <c r="I1172" s="111"/>
      <c r="J1172" s="111"/>
      <c r="K1172" s="111"/>
      <c r="L1172" s="111"/>
      <c r="M1172" s="111"/>
      <c r="N1172" s="111"/>
      <c r="O1172" s="111"/>
      <c r="P1172" s="111"/>
      <c r="Q1172" s="111"/>
      <c r="R1172" s="111"/>
      <c r="S1172" s="111"/>
      <c r="T1172" s="111"/>
      <c r="U1172" s="111"/>
      <c r="V1172" s="111"/>
      <c r="W1172" s="111"/>
      <c r="X1172" s="111"/>
      <c r="Y1172" s="111"/>
      <c r="Z1172" s="111"/>
      <c r="AA1172" s="111"/>
      <c r="AB1172" s="111"/>
      <c r="AC1172" s="111"/>
      <c r="AD1172" s="111"/>
      <c r="AE1172" s="111"/>
      <c r="AF1172" s="111"/>
      <c r="AG1172" s="111"/>
      <c r="AH1172" s="111"/>
      <c r="AI1172" s="111"/>
    </row>
    <row r="1173" spans="1:35" ht="18.75" customHeight="1">
      <c r="A1173" s="168"/>
      <c r="B1173" s="168"/>
      <c r="C1173" s="168"/>
      <c r="D1173" s="111"/>
      <c r="E1173" s="111"/>
      <c r="F1173" s="111"/>
      <c r="G1173" s="111"/>
      <c r="H1173" s="111"/>
      <c r="I1173" s="111"/>
      <c r="J1173" s="111"/>
      <c r="K1173" s="111"/>
      <c r="L1173" s="111"/>
      <c r="M1173" s="111"/>
      <c r="N1173" s="111"/>
      <c r="O1173" s="111"/>
      <c r="P1173" s="111"/>
      <c r="Q1173" s="111"/>
      <c r="R1173" s="111"/>
      <c r="S1173" s="111"/>
      <c r="T1173" s="111"/>
      <c r="U1173" s="111"/>
      <c r="V1173" s="111"/>
      <c r="W1173" s="111"/>
      <c r="X1173" s="111"/>
      <c r="Y1173" s="111"/>
      <c r="Z1173" s="111"/>
      <c r="AA1173" s="111"/>
      <c r="AB1173" s="111"/>
      <c r="AC1173" s="111"/>
      <c r="AD1173" s="111"/>
      <c r="AE1173" s="111"/>
      <c r="AF1173" s="111"/>
      <c r="AG1173" s="111"/>
      <c r="AH1173" s="111"/>
      <c r="AI1173" s="111"/>
    </row>
    <row r="1174" spans="1:35" ht="18.75" customHeight="1">
      <c r="A1174" s="168"/>
      <c r="B1174" s="168"/>
      <c r="C1174" s="168"/>
      <c r="D1174" s="111"/>
      <c r="E1174" s="111"/>
      <c r="F1174" s="111"/>
      <c r="G1174" s="111"/>
      <c r="H1174" s="111"/>
      <c r="I1174" s="111"/>
      <c r="J1174" s="111"/>
      <c r="K1174" s="111"/>
      <c r="L1174" s="111"/>
      <c r="M1174" s="111"/>
      <c r="N1174" s="111"/>
      <c r="O1174" s="111"/>
      <c r="P1174" s="111"/>
      <c r="Q1174" s="111"/>
      <c r="R1174" s="111"/>
      <c r="S1174" s="111"/>
      <c r="T1174" s="111"/>
      <c r="U1174" s="111"/>
      <c r="V1174" s="111"/>
      <c r="W1174" s="111"/>
      <c r="X1174" s="111"/>
      <c r="Y1174" s="111"/>
      <c r="Z1174" s="111"/>
      <c r="AA1174" s="111"/>
      <c r="AB1174" s="111"/>
      <c r="AC1174" s="111"/>
      <c r="AD1174" s="111"/>
      <c r="AE1174" s="111"/>
      <c r="AF1174" s="111"/>
      <c r="AG1174" s="111"/>
      <c r="AH1174" s="111"/>
      <c r="AI1174" s="111"/>
    </row>
    <row r="1175" spans="1:35" ht="18.75" customHeight="1">
      <c r="A1175" s="168"/>
      <c r="B1175" s="168"/>
      <c r="C1175" s="168"/>
      <c r="D1175" s="111"/>
      <c r="E1175" s="111"/>
      <c r="F1175" s="111"/>
      <c r="G1175" s="111"/>
      <c r="H1175" s="111"/>
      <c r="I1175" s="111"/>
      <c r="J1175" s="111"/>
      <c r="K1175" s="111"/>
      <c r="L1175" s="111"/>
      <c r="M1175" s="111"/>
      <c r="N1175" s="111"/>
      <c r="O1175" s="111"/>
      <c r="P1175" s="111"/>
      <c r="Q1175" s="111"/>
      <c r="R1175" s="111"/>
      <c r="S1175" s="111"/>
      <c r="T1175" s="111"/>
      <c r="U1175" s="111"/>
      <c r="V1175" s="111"/>
      <c r="W1175" s="111"/>
      <c r="X1175" s="111"/>
      <c r="Y1175" s="111"/>
      <c r="Z1175" s="111"/>
      <c r="AA1175" s="111"/>
      <c r="AB1175" s="111"/>
      <c r="AC1175" s="111"/>
      <c r="AD1175" s="111"/>
      <c r="AE1175" s="111"/>
      <c r="AF1175" s="111"/>
      <c r="AG1175" s="111"/>
      <c r="AH1175" s="111"/>
      <c r="AI1175" s="111"/>
    </row>
    <row r="1176" spans="1:35" ht="18.75" customHeight="1">
      <c r="A1176" s="168"/>
      <c r="B1176" s="168"/>
      <c r="C1176" s="168"/>
      <c r="D1176" s="111"/>
      <c r="E1176" s="111"/>
      <c r="F1176" s="111"/>
      <c r="G1176" s="111"/>
      <c r="H1176" s="111"/>
      <c r="I1176" s="111"/>
      <c r="J1176" s="111"/>
      <c r="K1176" s="111"/>
      <c r="L1176" s="111"/>
      <c r="M1176" s="111"/>
      <c r="N1176" s="111"/>
      <c r="O1176" s="111"/>
      <c r="P1176" s="111"/>
      <c r="Q1176" s="111"/>
      <c r="R1176" s="111"/>
      <c r="S1176" s="111"/>
      <c r="T1176" s="111"/>
      <c r="U1176" s="111"/>
      <c r="V1176" s="111"/>
      <c r="W1176" s="111"/>
      <c r="X1176" s="111"/>
      <c r="Y1176" s="111"/>
      <c r="Z1176" s="111"/>
      <c r="AA1176" s="111"/>
      <c r="AB1176" s="111"/>
      <c r="AC1176" s="111"/>
      <c r="AD1176" s="111"/>
      <c r="AE1176" s="111"/>
      <c r="AF1176" s="111"/>
      <c r="AG1176" s="111"/>
      <c r="AH1176" s="111"/>
      <c r="AI1176" s="111"/>
    </row>
    <row r="1177" spans="1:35" ht="18.75" customHeight="1">
      <c r="A1177" s="168"/>
      <c r="B1177" s="168"/>
      <c r="C1177" s="168"/>
      <c r="D1177" s="111"/>
      <c r="E1177" s="111"/>
      <c r="F1177" s="111"/>
      <c r="G1177" s="111"/>
      <c r="H1177" s="111"/>
      <c r="I1177" s="111"/>
      <c r="J1177" s="111"/>
      <c r="K1177" s="111"/>
      <c r="L1177" s="111"/>
      <c r="M1177" s="111"/>
      <c r="N1177" s="111"/>
      <c r="O1177" s="111"/>
      <c r="P1177" s="111"/>
      <c r="Q1177" s="111"/>
      <c r="R1177" s="111"/>
      <c r="S1177" s="111"/>
      <c r="T1177" s="111"/>
      <c r="U1177" s="111"/>
      <c r="V1177" s="111"/>
      <c r="W1177" s="111"/>
      <c r="X1177" s="111"/>
      <c r="Y1177" s="111"/>
      <c r="Z1177" s="111"/>
      <c r="AA1177" s="111"/>
      <c r="AB1177" s="111"/>
      <c r="AC1177" s="111"/>
      <c r="AD1177" s="111"/>
      <c r="AE1177" s="111"/>
      <c r="AF1177" s="111"/>
      <c r="AG1177" s="111"/>
      <c r="AH1177" s="111"/>
      <c r="AI1177" s="111"/>
    </row>
    <row r="1178" spans="1:35" ht="18.75" customHeight="1">
      <c r="A1178" s="168"/>
      <c r="B1178" s="168"/>
      <c r="C1178" s="168"/>
      <c r="D1178" s="111"/>
      <c r="E1178" s="111"/>
      <c r="F1178" s="111"/>
      <c r="G1178" s="111"/>
      <c r="H1178" s="111"/>
      <c r="I1178" s="111"/>
      <c r="J1178" s="111"/>
      <c r="K1178" s="111"/>
      <c r="L1178" s="111"/>
      <c r="M1178" s="111"/>
      <c r="N1178" s="111"/>
      <c r="O1178" s="111"/>
      <c r="P1178" s="111"/>
      <c r="Q1178" s="111"/>
      <c r="R1178" s="111"/>
      <c r="S1178" s="111"/>
      <c r="T1178" s="111"/>
      <c r="U1178" s="111"/>
      <c r="V1178" s="111"/>
      <c r="W1178" s="111"/>
      <c r="X1178" s="111"/>
      <c r="Y1178" s="111"/>
      <c r="Z1178" s="111"/>
      <c r="AA1178" s="111"/>
      <c r="AB1178" s="111"/>
      <c r="AC1178" s="111"/>
      <c r="AD1178" s="111"/>
      <c r="AE1178" s="111"/>
      <c r="AF1178" s="111"/>
      <c r="AG1178" s="111"/>
      <c r="AH1178" s="111"/>
      <c r="AI1178" s="111"/>
    </row>
    <row r="1179" spans="1:35" ht="18.75" customHeight="1">
      <c r="A1179" s="168"/>
      <c r="B1179" s="168"/>
      <c r="C1179" s="168"/>
      <c r="D1179" s="111"/>
      <c r="E1179" s="111"/>
      <c r="F1179" s="111"/>
      <c r="G1179" s="111"/>
      <c r="H1179" s="111"/>
      <c r="I1179" s="111"/>
      <c r="J1179" s="111"/>
      <c r="K1179" s="111"/>
      <c r="L1179" s="111"/>
      <c r="M1179" s="111"/>
      <c r="N1179" s="111"/>
      <c r="O1179" s="111"/>
      <c r="P1179" s="111"/>
      <c r="Q1179" s="111"/>
      <c r="R1179" s="111"/>
      <c r="S1179" s="111"/>
      <c r="T1179" s="111"/>
      <c r="U1179" s="111"/>
      <c r="V1179" s="111"/>
      <c r="W1179" s="111"/>
      <c r="X1179" s="111"/>
      <c r="Y1179" s="111"/>
      <c r="Z1179" s="111"/>
      <c r="AA1179" s="111"/>
      <c r="AB1179" s="111"/>
      <c r="AC1179" s="111"/>
      <c r="AD1179" s="111"/>
      <c r="AE1179" s="111"/>
      <c r="AF1179" s="111"/>
      <c r="AG1179" s="111"/>
      <c r="AH1179" s="111"/>
      <c r="AI1179" s="111"/>
    </row>
    <row r="1180" spans="1:35" ht="18.75" customHeight="1">
      <c r="A1180" s="168"/>
      <c r="B1180" s="168"/>
      <c r="C1180" s="168"/>
      <c r="D1180" s="111"/>
      <c r="E1180" s="111"/>
      <c r="F1180" s="111"/>
      <c r="G1180" s="111"/>
      <c r="H1180" s="111"/>
      <c r="I1180" s="111"/>
      <c r="J1180" s="111"/>
      <c r="K1180" s="111"/>
      <c r="L1180" s="111"/>
      <c r="M1180" s="111"/>
      <c r="N1180" s="111"/>
      <c r="O1180" s="111"/>
      <c r="P1180" s="111"/>
      <c r="Q1180" s="111"/>
      <c r="R1180" s="111"/>
      <c r="S1180" s="111"/>
      <c r="T1180" s="111"/>
      <c r="U1180" s="111"/>
      <c r="V1180" s="111"/>
      <c r="W1180" s="111"/>
      <c r="X1180" s="111"/>
      <c r="Y1180" s="111"/>
      <c r="Z1180" s="111"/>
      <c r="AA1180" s="111"/>
      <c r="AB1180" s="111"/>
      <c r="AC1180" s="111"/>
      <c r="AD1180" s="111"/>
      <c r="AE1180" s="111"/>
      <c r="AF1180" s="111"/>
      <c r="AG1180" s="111"/>
      <c r="AH1180" s="111"/>
      <c r="AI1180" s="111"/>
    </row>
    <row r="1181" spans="1:35" ht="18.75" customHeight="1">
      <c r="A1181" s="168"/>
      <c r="B1181" s="168"/>
      <c r="C1181" s="168"/>
      <c r="D1181" s="111"/>
      <c r="E1181" s="111"/>
      <c r="F1181" s="111"/>
      <c r="G1181" s="111"/>
      <c r="H1181" s="111"/>
      <c r="I1181" s="111"/>
      <c r="J1181" s="111"/>
      <c r="K1181" s="111"/>
      <c r="L1181" s="111"/>
      <c r="M1181" s="111"/>
      <c r="N1181" s="111"/>
      <c r="O1181" s="111"/>
      <c r="P1181" s="111"/>
      <c r="Q1181" s="111"/>
      <c r="R1181" s="111"/>
      <c r="S1181" s="111"/>
      <c r="T1181" s="111"/>
      <c r="U1181" s="111"/>
      <c r="V1181" s="111"/>
      <c r="W1181" s="111"/>
      <c r="X1181" s="111"/>
      <c r="Y1181" s="111"/>
      <c r="Z1181" s="111"/>
      <c r="AA1181" s="111"/>
      <c r="AB1181" s="111"/>
      <c r="AC1181" s="111"/>
      <c r="AD1181" s="111"/>
      <c r="AE1181" s="111"/>
      <c r="AF1181" s="111"/>
      <c r="AG1181" s="111"/>
      <c r="AH1181" s="111"/>
      <c r="AI1181" s="111"/>
    </row>
    <row r="1182" spans="1:35" ht="18.75" customHeight="1">
      <c r="A1182" s="168"/>
      <c r="B1182" s="168"/>
      <c r="C1182" s="168"/>
      <c r="D1182" s="111"/>
      <c r="E1182" s="111"/>
      <c r="F1182" s="111"/>
      <c r="G1182" s="111"/>
      <c r="H1182" s="111"/>
      <c r="I1182" s="111"/>
      <c r="J1182" s="111"/>
      <c r="K1182" s="111"/>
      <c r="L1182" s="111"/>
      <c r="M1182" s="111"/>
      <c r="N1182" s="111"/>
      <c r="O1182" s="111"/>
      <c r="P1182" s="111"/>
      <c r="Q1182" s="111"/>
      <c r="R1182" s="111"/>
      <c r="S1182" s="111"/>
      <c r="T1182" s="111"/>
      <c r="U1182" s="111"/>
      <c r="V1182" s="111"/>
      <c r="W1182" s="111"/>
      <c r="X1182" s="111"/>
      <c r="Y1182" s="111"/>
      <c r="Z1182" s="111"/>
      <c r="AA1182" s="111"/>
      <c r="AB1182" s="111"/>
      <c r="AC1182" s="111"/>
      <c r="AD1182" s="111"/>
      <c r="AE1182" s="111"/>
      <c r="AF1182" s="111"/>
      <c r="AG1182" s="111"/>
      <c r="AH1182" s="111"/>
      <c r="AI1182" s="111"/>
    </row>
    <row r="1183" spans="1:35" ht="18.75" customHeight="1">
      <c r="A1183" s="168"/>
      <c r="B1183" s="168"/>
      <c r="C1183" s="168"/>
      <c r="D1183" s="111"/>
      <c r="E1183" s="111"/>
      <c r="F1183" s="111"/>
      <c r="G1183" s="111"/>
      <c r="H1183" s="111"/>
      <c r="I1183" s="111"/>
      <c r="J1183" s="111"/>
      <c r="K1183" s="111"/>
      <c r="L1183" s="111"/>
      <c r="M1183" s="111"/>
      <c r="N1183" s="111"/>
      <c r="O1183" s="111"/>
      <c r="P1183" s="111"/>
      <c r="Q1183" s="111"/>
      <c r="R1183" s="111"/>
      <c r="S1183" s="111"/>
      <c r="T1183" s="111"/>
      <c r="U1183" s="111"/>
      <c r="V1183" s="111"/>
      <c r="W1183" s="111"/>
      <c r="X1183" s="111"/>
      <c r="Y1183" s="111"/>
      <c r="Z1183" s="111"/>
      <c r="AA1183" s="111"/>
      <c r="AB1183" s="111"/>
      <c r="AC1183" s="111"/>
      <c r="AD1183" s="111"/>
      <c r="AE1183" s="111"/>
      <c r="AF1183" s="111"/>
      <c r="AG1183" s="111"/>
      <c r="AH1183" s="111"/>
      <c r="AI1183" s="111"/>
    </row>
    <row r="1184" spans="1:35" ht="18.75" customHeight="1">
      <c r="A1184" s="168"/>
      <c r="B1184" s="168"/>
      <c r="C1184" s="168"/>
      <c r="D1184" s="111"/>
      <c r="E1184" s="111"/>
      <c r="F1184" s="111"/>
      <c r="G1184" s="111"/>
      <c r="H1184" s="111"/>
      <c r="I1184" s="111"/>
      <c r="J1184" s="111"/>
      <c r="K1184" s="111"/>
      <c r="L1184" s="111"/>
      <c r="M1184" s="111"/>
      <c r="N1184" s="111"/>
      <c r="O1184" s="111"/>
      <c r="P1184" s="111"/>
      <c r="Q1184" s="111"/>
      <c r="R1184" s="111"/>
      <c r="S1184" s="111"/>
      <c r="T1184" s="111"/>
      <c r="U1184" s="111"/>
      <c r="V1184" s="111"/>
      <c r="W1184" s="111"/>
      <c r="X1184" s="111"/>
      <c r="Y1184" s="111"/>
      <c r="Z1184" s="111"/>
      <c r="AA1184" s="111"/>
      <c r="AB1184" s="111"/>
      <c r="AC1184" s="111"/>
      <c r="AD1184" s="111"/>
      <c r="AE1184" s="111"/>
      <c r="AF1184" s="111"/>
      <c r="AG1184" s="111"/>
      <c r="AH1184" s="111"/>
      <c r="AI1184" s="111"/>
    </row>
    <row r="1185" spans="1:35" ht="18.75" customHeight="1">
      <c r="A1185" s="168"/>
      <c r="B1185" s="168"/>
      <c r="C1185" s="168"/>
      <c r="D1185" s="111"/>
      <c r="E1185" s="111"/>
      <c r="F1185" s="111"/>
      <c r="G1185" s="111"/>
      <c r="H1185" s="111"/>
      <c r="I1185" s="111"/>
      <c r="J1185" s="111"/>
      <c r="K1185" s="111"/>
      <c r="L1185" s="111"/>
      <c r="M1185" s="111"/>
      <c r="N1185" s="111"/>
      <c r="O1185" s="111"/>
      <c r="P1185" s="111"/>
      <c r="Q1185" s="111"/>
      <c r="R1185" s="111"/>
      <c r="S1185" s="111"/>
      <c r="T1185" s="111"/>
      <c r="U1185" s="111"/>
      <c r="V1185" s="111"/>
      <c r="W1185" s="111"/>
      <c r="X1185" s="111"/>
      <c r="Y1185" s="111"/>
      <c r="Z1185" s="111"/>
      <c r="AA1185" s="111"/>
      <c r="AB1185" s="111"/>
      <c r="AC1185" s="111"/>
      <c r="AD1185" s="111"/>
      <c r="AE1185" s="111"/>
      <c r="AF1185" s="111"/>
      <c r="AG1185" s="111"/>
      <c r="AH1185" s="111"/>
      <c r="AI1185" s="111"/>
    </row>
    <row r="1186" spans="1:35" ht="18.75" customHeight="1">
      <c r="A1186" s="168"/>
      <c r="B1186" s="168"/>
      <c r="C1186" s="168"/>
      <c r="D1186" s="111"/>
      <c r="E1186" s="111"/>
      <c r="F1186" s="111"/>
      <c r="G1186" s="111"/>
      <c r="H1186" s="111"/>
      <c r="I1186" s="111"/>
      <c r="J1186" s="111"/>
      <c r="K1186" s="111"/>
      <c r="L1186" s="111"/>
      <c r="M1186" s="111"/>
      <c r="N1186" s="111"/>
      <c r="O1186" s="111"/>
      <c r="P1186" s="111"/>
      <c r="Q1186" s="111"/>
      <c r="R1186" s="111"/>
      <c r="S1186" s="111"/>
      <c r="T1186" s="111"/>
      <c r="U1186" s="111"/>
      <c r="V1186" s="111"/>
      <c r="W1186" s="111"/>
      <c r="X1186" s="111"/>
      <c r="Y1186" s="111"/>
      <c r="Z1186" s="111"/>
      <c r="AA1186" s="111"/>
      <c r="AB1186" s="111"/>
      <c r="AC1186" s="111"/>
      <c r="AD1186" s="111"/>
      <c r="AE1186" s="111"/>
      <c r="AF1186" s="111"/>
      <c r="AG1186" s="111"/>
      <c r="AH1186" s="111"/>
      <c r="AI1186" s="111"/>
    </row>
    <row r="1187" spans="1:35" ht="18.75" customHeight="1">
      <c r="A1187" s="168"/>
      <c r="B1187" s="168"/>
      <c r="C1187" s="168"/>
      <c r="D1187" s="111"/>
      <c r="E1187" s="111"/>
      <c r="F1187" s="111"/>
      <c r="G1187" s="111"/>
      <c r="H1187" s="111"/>
      <c r="I1187" s="111"/>
      <c r="J1187" s="111"/>
      <c r="K1187" s="111"/>
      <c r="L1187" s="111"/>
      <c r="M1187" s="111"/>
      <c r="N1187" s="111"/>
      <c r="O1187" s="111"/>
      <c r="P1187" s="111"/>
      <c r="Q1187" s="111"/>
      <c r="R1187" s="111"/>
      <c r="S1187" s="111"/>
      <c r="T1187" s="111"/>
      <c r="U1187" s="111"/>
      <c r="V1187" s="111"/>
      <c r="W1187" s="111"/>
      <c r="X1187" s="111"/>
      <c r="Y1187" s="111"/>
      <c r="Z1187" s="111"/>
      <c r="AA1187" s="111"/>
      <c r="AB1187" s="111"/>
      <c r="AC1187" s="111"/>
      <c r="AD1187" s="111"/>
      <c r="AE1187" s="111"/>
      <c r="AF1187" s="111"/>
      <c r="AG1187" s="111"/>
      <c r="AH1187" s="111"/>
      <c r="AI1187" s="111"/>
    </row>
    <row r="1188" spans="1:35" ht="18.75" customHeight="1">
      <c r="A1188" s="168"/>
      <c r="B1188" s="168"/>
      <c r="C1188" s="168"/>
      <c r="D1188" s="111"/>
      <c r="E1188" s="111"/>
      <c r="F1188" s="111"/>
      <c r="G1188" s="111"/>
      <c r="H1188" s="111"/>
      <c r="I1188" s="111"/>
      <c r="J1188" s="111"/>
      <c r="K1188" s="111"/>
      <c r="L1188" s="111"/>
      <c r="M1188" s="111"/>
      <c r="N1188" s="111"/>
      <c r="O1188" s="111"/>
      <c r="P1188" s="111"/>
      <c r="Q1188" s="111"/>
      <c r="R1188" s="111"/>
      <c r="S1188" s="111"/>
      <c r="T1188" s="111"/>
      <c r="U1188" s="111"/>
      <c r="V1188" s="111"/>
      <c r="W1188" s="111"/>
      <c r="X1188" s="111"/>
      <c r="Y1188" s="111"/>
      <c r="Z1188" s="111"/>
      <c r="AA1188" s="111"/>
      <c r="AB1188" s="111"/>
      <c r="AC1188" s="111"/>
      <c r="AD1188" s="111"/>
      <c r="AE1188" s="111"/>
      <c r="AF1188" s="111"/>
      <c r="AG1188" s="111"/>
      <c r="AH1188" s="111"/>
      <c r="AI1188" s="111"/>
    </row>
    <row r="1189" spans="1:35" ht="18.75" customHeight="1">
      <c r="A1189" s="168"/>
      <c r="B1189" s="168"/>
      <c r="C1189" s="168"/>
      <c r="D1189" s="111"/>
      <c r="E1189" s="111"/>
      <c r="F1189" s="111"/>
      <c r="G1189" s="111"/>
      <c r="H1189" s="111"/>
      <c r="I1189" s="111"/>
      <c r="J1189" s="111"/>
      <c r="K1189" s="111"/>
      <c r="L1189" s="111"/>
      <c r="M1189" s="111"/>
      <c r="N1189" s="111"/>
      <c r="O1189" s="111"/>
      <c r="P1189" s="111"/>
      <c r="Q1189" s="111"/>
      <c r="R1189" s="111"/>
      <c r="S1189" s="111"/>
      <c r="T1189" s="111"/>
      <c r="U1189" s="111"/>
      <c r="V1189" s="111"/>
      <c r="W1189" s="111"/>
      <c r="X1189" s="111"/>
      <c r="Y1189" s="111"/>
      <c r="Z1189" s="111"/>
      <c r="AA1189" s="111"/>
      <c r="AB1189" s="111"/>
      <c r="AC1189" s="111"/>
      <c r="AD1189" s="111"/>
      <c r="AE1189" s="111"/>
      <c r="AF1189" s="111"/>
      <c r="AG1189" s="111"/>
      <c r="AH1189" s="111"/>
      <c r="AI1189" s="111"/>
    </row>
    <row r="1190" spans="1:35" ht="18.75" customHeight="1">
      <c r="A1190" s="168"/>
      <c r="B1190" s="168"/>
      <c r="C1190" s="168"/>
      <c r="D1190" s="111"/>
      <c r="E1190" s="111"/>
      <c r="F1190" s="111"/>
      <c r="G1190" s="111"/>
      <c r="H1190" s="111"/>
      <c r="I1190" s="111"/>
      <c r="J1190" s="111"/>
      <c r="K1190" s="111"/>
      <c r="L1190" s="111"/>
      <c r="M1190" s="111"/>
      <c r="N1190" s="111"/>
      <c r="O1190" s="111"/>
      <c r="P1190" s="111"/>
      <c r="Q1190" s="111"/>
      <c r="R1190" s="111"/>
      <c r="S1190" s="111"/>
      <c r="T1190" s="111"/>
      <c r="U1190" s="111"/>
      <c r="V1190" s="111"/>
      <c r="W1190" s="111"/>
      <c r="X1190" s="111"/>
      <c r="Y1190" s="111"/>
      <c r="Z1190" s="111"/>
      <c r="AA1190" s="111"/>
      <c r="AB1190" s="111"/>
      <c r="AC1190" s="111"/>
      <c r="AD1190" s="111"/>
      <c r="AE1190" s="111"/>
      <c r="AF1190" s="111"/>
      <c r="AG1190" s="111"/>
      <c r="AH1190" s="111"/>
      <c r="AI1190" s="111"/>
    </row>
    <row r="1191" spans="1:35" ht="18.75" customHeight="1">
      <c r="A1191" s="168"/>
      <c r="B1191" s="168"/>
      <c r="C1191" s="168"/>
      <c r="D1191" s="111"/>
      <c r="E1191" s="111"/>
      <c r="F1191" s="111"/>
      <c r="G1191" s="111"/>
      <c r="H1191" s="111"/>
      <c r="I1191" s="111"/>
      <c r="J1191" s="111"/>
      <c r="K1191" s="111"/>
      <c r="L1191" s="111"/>
      <c r="M1191" s="111"/>
      <c r="N1191" s="111"/>
      <c r="O1191" s="111"/>
      <c r="P1191" s="111"/>
      <c r="Q1191" s="111"/>
      <c r="R1191" s="111"/>
      <c r="S1191" s="111"/>
      <c r="T1191" s="111"/>
      <c r="U1191" s="111"/>
      <c r="V1191" s="111"/>
      <c r="W1191" s="111"/>
      <c r="X1191" s="111"/>
      <c r="Y1191" s="111"/>
      <c r="Z1191" s="111"/>
      <c r="AA1191" s="111"/>
      <c r="AB1191" s="111"/>
      <c r="AC1191" s="111"/>
      <c r="AD1191" s="111"/>
      <c r="AE1191" s="111"/>
      <c r="AF1191" s="111"/>
      <c r="AG1191" s="111"/>
      <c r="AH1191" s="111"/>
      <c r="AI1191" s="111"/>
    </row>
    <row r="1192" spans="1:35" ht="18.75" customHeight="1">
      <c r="A1192" s="168"/>
      <c r="B1192" s="168"/>
      <c r="C1192" s="168"/>
      <c r="D1192" s="111"/>
      <c r="E1192" s="111"/>
      <c r="F1192" s="111"/>
      <c r="G1192" s="111"/>
      <c r="H1192" s="111"/>
      <c r="I1192" s="111"/>
      <c r="J1192" s="111"/>
      <c r="K1192" s="111"/>
      <c r="L1192" s="111"/>
      <c r="M1192" s="111"/>
      <c r="N1192" s="111"/>
      <c r="O1192" s="111"/>
      <c r="P1192" s="111"/>
      <c r="Q1192" s="111"/>
      <c r="R1192" s="111"/>
      <c r="S1192" s="111"/>
      <c r="T1192" s="111"/>
      <c r="U1192" s="111"/>
      <c r="V1192" s="111"/>
      <c r="W1192" s="111"/>
      <c r="X1192" s="111"/>
      <c r="Y1192" s="111"/>
      <c r="Z1192" s="111"/>
      <c r="AA1192" s="111"/>
      <c r="AB1192" s="111"/>
      <c r="AC1192" s="111"/>
      <c r="AD1192" s="111"/>
      <c r="AE1192" s="111"/>
      <c r="AF1192" s="111"/>
      <c r="AG1192" s="111"/>
      <c r="AH1192" s="111"/>
      <c r="AI1192" s="111"/>
    </row>
    <row r="1193" spans="1:35" ht="18.75" customHeight="1">
      <c r="A1193" s="168"/>
      <c r="B1193" s="168"/>
      <c r="C1193" s="168"/>
      <c r="D1193" s="111"/>
      <c r="E1193" s="111"/>
      <c r="F1193" s="111"/>
      <c r="G1193" s="111"/>
      <c r="H1193" s="111"/>
      <c r="I1193" s="111"/>
      <c r="J1193" s="111"/>
      <c r="K1193" s="111"/>
      <c r="L1193" s="111"/>
      <c r="M1193" s="111"/>
      <c r="N1193" s="111"/>
      <c r="O1193" s="111"/>
      <c r="P1193" s="111"/>
      <c r="Q1193" s="111"/>
      <c r="R1193" s="111"/>
      <c r="S1193" s="111"/>
      <c r="T1193" s="111"/>
      <c r="U1193" s="111"/>
      <c r="V1193" s="111"/>
      <c r="W1193" s="111"/>
      <c r="X1193" s="111"/>
      <c r="Y1193" s="111"/>
      <c r="Z1193" s="111"/>
      <c r="AA1193" s="111"/>
      <c r="AB1193" s="111"/>
      <c r="AC1193" s="111"/>
      <c r="AD1193" s="111"/>
      <c r="AE1193" s="111"/>
      <c r="AF1193" s="111"/>
      <c r="AG1193" s="111"/>
      <c r="AH1193" s="111"/>
      <c r="AI1193" s="111"/>
    </row>
    <row r="1194" spans="1:35" ht="18.75" customHeight="1">
      <c r="A1194" s="168"/>
      <c r="B1194" s="168"/>
      <c r="C1194" s="168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  <c r="AG1194" s="111"/>
      <c r="AH1194" s="111"/>
      <c r="AI1194" s="111"/>
    </row>
    <row r="1195" spans="1:35" ht="18.75" customHeight="1">
      <c r="A1195" s="168"/>
      <c r="B1195" s="168"/>
      <c r="C1195" s="168"/>
      <c r="D1195" s="111"/>
      <c r="E1195" s="111"/>
      <c r="F1195" s="111"/>
      <c r="G1195" s="111"/>
      <c r="H1195" s="111"/>
      <c r="I1195" s="111"/>
      <c r="J1195" s="111"/>
      <c r="K1195" s="111"/>
      <c r="L1195" s="111"/>
      <c r="M1195" s="111"/>
      <c r="N1195" s="111"/>
      <c r="O1195" s="111"/>
      <c r="P1195" s="111"/>
      <c r="Q1195" s="111"/>
      <c r="R1195" s="111"/>
      <c r="S1195" s="111"/>
      <c r="T1195" s="111"/>
      <c r="U1195" s="111"/>
      <c r="V1195" s="111"/>
      <c r="W1195" s="111"/>
      <c r="X1195" s="111"/>
      <c r="Y1195" s="111"/>
      <c r="Z1195" s="111"/>
      <c r="AA1195" s="111"/>
      <c r="AB1195" s="111"/>
      <c r="AC1195" s="111"/>
      <c r="AD1195" s="111"/>
      <c r="AE1195" s="111"/>
      <c r="AF1195" s="111"/>
      <c r="AG1195" s="111"/>
      <c r="AH1195" s="111"/>
      <c r="AI1195" s="111"/>
    </row>
    <row r="1196" spans="1:35" ht="18.75" customHeight="1">
      <c r="A1196" s="168"/>
      <c r="B1196" s="168"/>
      <c r="C1196" s="168"/>
      <c r="D1196" s="111"/>
      <c r="E1196" s="111"/>
      <c r="F1196" s="111"/>
      <c r="G1196" s="111"/>
      <c r="H1196" s="111"/>
      <c r="I1196" s="111"/>
      <c r="J1196" s="111"/>
      <c r="K1196" s="111"/>
      <c r="L1196" s="111"/>
      <c r="M1196" s="111"/>
      <c r="N1196" s="111"/>
      <c r="O1196" s="111"/>
      <c r="P1196" s="111"/>
      <c r="Q1196" s="111"/>
      <c r="R1196" s="111"/>
      <c r="S1196" s="111"/>
      <c r="T1196" s="111"/>
      <c r="U1196" s="111"/>
      <c r="V1196" s="111"/>
      <c r="W1196" s="111"/>
      <c r="X1196" s="111"/>
      <c r="Y1196" s="111"/>
      <c r="Z1196" s="111"/>
      <c r="AA1196" s="111"/>
      <c r="AB1196" s="111"/>
      <c r="AC1196" s="111"/>
      <c r="AD1196" s="111"/>
      <c r="AE1196" s="111"/>
      <c r="AF1196" s="111"/>
      <c r="AG1196" s="111"/>
      <c r="AH1196" s="111"/>
      <c r="AI1196" s="111"/>
    </row>
    <row r="1197" spans="1:35" ht="18.75" customHeight="1">
      <c r="A1197" s="168"/>
      <c r="B1197" s="168"/>
      <c r="C1197" s="168"/>
      <c r="D1197" s="111"/>
      <c r="E1197" s="111"/>
      <c r="F1197" s="111"/>
      <c r="G1197" s="111"/>
      <c r="H1197" s="111"/>
      <c r="I1197" s="111"/>
      <c r="J1197" s="111"/>
      <c r="K1197" s="111"/>
      <c r="L1197" s="111"/>
      <c r="M1197" s="111"/>
      <c r="N1197" s="111"/>
      <c r="O1197" s="111"/>
      <c r="P1197" s="111"/>
      <c r="Q1197" s="111"/>
      <c r="R1197" s="111"/>
      <c r="S1197" s="111"/>
      <c r="T1197" s="111"/>
      <c r="U1197" s="111"/>
      <c r="V1197" s="111"/>
      <c r="W1197" s="111"/>
      <c r="X1197" s="111"/>
      <c r="Y1197" s="111"/>
      <c r="Z1197" s="111"/>
      <c r="AA1197" s="111"/>
      <c r="AB1197" s="111"/>
      <c r="AC1197" s="111"/>
      <c r="AD1197" s="111"/>
      <c r="AE1197" s="111"/>
      <c r="AF1197" s="111"/>
      <c r="AG1197" s="111"/>
      <c r="AH1197" s="111"/>
      <c r="AI1197" s="111"/>
    </row>
    <row r="1198" spans="1:35" ht="18.75" customHeight="1">
      <c r="A1198" s="168"/>
      <c r="B1198" s="168"/>
      <c r="C1198" s="168"/>
      <c r="D1198" s="111"/>
      <c r="E1198" s="111"/>
      <c r="F1198" s="111"/>
      <c r="G1198" s="111"/>
      <c r="H1198" s="111"/>
      <c r="I1198" s="111"/>
      <c r="J1198" s="111"/>
      <c r="K1198" s="111"/>
      <c r="L1198" s="111"/>
      <c r="M1198" s="111"/>
      <c r="N1198" s="111"/>
      <c r="O1198" s="111"/>
      <c r="P1198" s="111"/>
      <c r="Q1198" s="111"/>
      <c r="R1198" s="111"/>
      <c r="S1198" s="111"/>
      <c r="T1198" s="111"/>
      <c r="U1198" s="111"/>
      <c r="V1198" s="111"/>
      <c r="W1198" s="111"/>
      <c r="X1198" s="111"/>
      <c r="Y1198" s="111"/>
      <c r="Z1198" s="111"/>
      <c r="AA1198" s="111"/>
      <c r="AB1198" s="111"/>
      <c r="AC1198" s="111"/>
      <c r="AD1198" s="111"/>
      <c r="AE1198" s="111"/>
      <c r="AF1198" s="111"/>
      <c r="AG1198" s="111"/>
      <c r="AH1198" s="111"/>
      <c r="AI1198" s="111"/>
    </row>
    <row r="1199" spans="1:35" ht="18.75" customHeight="1">
      <c r="A1199" s="168"/>
      <c r="B1199" s="168"/>
      <c r="C1199" s="168"/>
      <c r="D1199" s="111"/>
      <c r="E1199" s="111"/>
      <c r="F1199" s="111"/>
      <c r="G1199" s="111"/>
      <c r="H1199" s="111"/>
      <c r="I1199" s="111"/>
      <c r="J1199" s="111"/>
      <c r="K1199" s="111"/>
      <c r="L1199" s="111"/>
      <c r="M1199" s="111"/>
      <c r="N1199" s="111"/>
      <c r="O1199" s="111"/>
      <c r="P1199" s="111"/>
      <c r="Q1199" s="111"/>
      <c r="R1199" s="111"/>
      <c r="S1199" s="111"/>
      <c r="T1199" s="111"/>
      <c r="U1199" s="111"/>
      <c r="V1199" s="111"/>
      <c r="W1199" s="111"/>
      <c r="X1199" s="111"/>
      <c r="Y1199" s="111"/>
      <c r="Z1199" s="111"/>
      <c r="AA1199" s="111"/>
      <c r="AB1199" s="111"/>
      <c r="AC1199" s="111"/>
      <c r="AD1199" s="111"/>
      <c r="AE1199" s="111"/>
      <c r="AF1199" s="111"/>
      <c r="AG1199" s="111"/>
      <c r="AH1199" s="111"/>
      <c r="AI1199" s="111"/>
    </row>
    <row r="1200" spans="1:35" ht="18.75" customHeight="1">
      <c r="A1200" s="168"/>
      <c r="B1200" s="168"/>
      <c r="C1200" s="168"/>
      <c r="D1200" s="111"/>
      <c r="E1200" s="111"/>
      <c r="F1200" s="111"/>
      <c r="G1200" s="111"/>
      <c r="H1200" s="111"/>
      <c r="I1200" s="111"/>
      <c r="J1200" s="111"/>
      <c r="K1200" s="111"/>
      <c r="L1200" s="111"/>
      <c r="M1200" s="111"/>
      <c r="N1200" s="111"/>
      <c r="O1200" s="111"/>
      <c r="P1200" s="111"/>
      <c r="Q1200" s="111"/>
      <c r="R1200" s="111"/>
      <c r="S1200" s="111"/>
      <c r="T1200" s="111"/>
      <c r="U1200" s="111"/>
      <c r="V1200" s="111"/>
      <c r="W1200" s="111"/>
      <c r="X1200" s="111"/>
      <c r="Y1200" s="111"/>
      <c r="Z1200" s="111"/>
      <c r="AA1200" s="111"/>
      <c r="AB1200" s="111"/>
      <c r="AC1200" s="111"/>
      <c r="AD1200" s="111"/>
      <c r="AE1200" s="111"/>
      <c r="AF1200" s="111"/>
      <c r="AG1200" s="111"/>
      <c r="AH1200" s="111"/>
      <c r="AI1200" s="111"/>
    </row>
    <row r="1201" spans="1:35" ht="18.75" customHeight="1">
      <c r="A1201" s="168"/>
      <c r="B1201" s="168"/>
      <c r="C1201" s="168"/>
      <c r="D1201" s="111"/>
      <c r="E1201" s="111"/>
      <c r="F1201" s="111"/>
      <c r="G1201" s="111"/>
      <c r="H1201" s="111"/>
      <c r="I1201" s="111"/>
      <c r="J1201" s="111"/>
      <c r="K1201" s="111"/>
      <c r="L1201" s="111"/>
      <c r="M1201" s="111"/>
      <c r="N1201" s="111"/>
      <c r="O1201" s="111"/>
      <c r="P1201" s="111"/>
      <c r="Q1201" s="111"/>
      <c r="R1201" s="111"/>
      <c r="S1201" s="111"/>
      <c r="T1201" s="111"/>
      <c r="U1201" s="111"/>
      <c r="V1201" s="111"/>
      <c r="W1201" s="111"/>
      <c r="X1201" s="111"/>
      <c r="Y1201" s="111"/>
      <c r="Z1201" s="111"/>
      <c r="AA1201" s="111"/>
      <c r="AB1201" s="111"/>
      <c r="AC1201" s="111"/>
      <c r="AD1201" s="111"/>
      <c r="AE1201" s="111"/>
      <c r="AF1201" s="111"/>
      <c r="AG1201" s="111"/>
      <c r="AH1201" s="111"/>
      <c r="AI1201" s="111"/>
    </row>
    <row r="1202" spans="1:35" ht="18.75" customHeight="1">
      <c r="A1202" s="168"/>
      <c r="B1202" s="168"/>
      <c r="C1202" s="168"/>
      <c r="D1202" s="111"/>
      <c r="E1202" s="111"/>
      <c r="F1202" s="111"/>
      <c r="G1202" s="111"/>
      <c r="H1202" s="111"/>
      <c r="I1202" s="111"/>
      <c r="J1202" s="111"/>
      <c r="K1202" s="111"/>
      <c r="L1202" s="111"/>
      <c r="M1202" s="111"/>
      <c r="N1202" s="111"/>
      <c r="O1202" s="111"/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/>
      <c r="AB1202" s="111"/>
      <c r="AC1202" s="111"/>
      <c r="AD1202" s="111"/>
      <c r="AE1202" s="111"/>
      <c r="AF1202" s="111"/>
      <c r="AG1202" s="111"/>
      <c r="AH1202" s="111"/>
      <c r="AI1202" s="111"/>
    </row>
    <row r="1203" spans="1:35" ht="18.75" customHeight="1">
      <c r="A1203" s="168"/>
      <c r="B1203" s="168"/>
      <c r="C1203" s="168"/>
      <c r="D1203" s="111"/>
      <c r="E1203" s="111"/>
      <c r="F1203" s="111"/>
      <c r="G1203" s="111"/>
      <c r="H1203" s="111"/>
      <c r="I1203" s="111"/>
      <c r="J1203" s="111"/>
      <c r="K1203" s="111"/>
      <c r="L1203" s="111"/>
      <c r="M1203" s="111"/>
      <c r="N1203" s="111"/>
      <c r="O1203" s="111"/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/>
      <c r="AB1203" s="111"/>
      <c r="AC1203" s="111"/>
      <c r="AD1203" s="111"/>
      <c r="AE1203" s="111"/>
      <c r="AF1203" s="111"/>
      <c r="AG1203" s="111"/>
      <c r="AH1203" s="111"/>
      <c r="AI1203" s="111"/>
    </row>
    <row r="1204" spans="1:35" ht="18.75" customHeight="1">
      <c r="A1204" s="168"/>
      <c r="B1204" s="168"/>
      <c r="C1204" s="168"/>
      <c r="D1204" s="111"/>
      <c r="E1204" s="111"/>
      <c r="F1204" s="111"/>
      <c r="G1204" s="111"/>
      <c r="H1204" s="111"/>
      <c r="I1204" s="111"/>
      <c r="J1204" s="111"/>
      <c r="K1204" s="111"/>
      <c r="L1204" s="111"/>
      <c r="M1204" s="111"/>
      <c r="N1204" s="111"/>
      <c r="O1204" s="111"/>
      <c r="P1204" s="111"/>
      <c r="Q1204" s="111"/>
      <c r="R1204" s="111"/>
      <c r="S1204" s="111"/>
      <c r="T1204" s="111"/>
      <c r="U1204" s="111"/>
      <c r="V1204" s="111"/>
      <c r="W1204" s="111"/>
      <c r="X1204" s="111"/>
      <c r="Y1204" s="111"/>
      <c r="Z1204" s="111"/>
      <c r="AA1204" s="111"/>
      <c r="AB1204" s="111"/>
      <c r="AC1204" s="111"/>
      <c r="AD1204" s="111"/>
      <c r="AE1204" s="111"/>
      <c r="AF1204" s="111"/>
      <c r="AG1204" s="111"/>
      <c r="AH1204" s="111"/>
      <c r="AI1204" s="111"/>
    </row>
    <row r="1205" spans="1:35" ht="18.75" customHeight="1">
      <c r="A1205" s="168"/>
      <c r="B1205" s="168"/>
      <c r="C1205" s="168"/>
      <c r="D1205" s="111"/>
      <c r="E1205" s="111"/>
      <c r="F1205" s="111"/>
      <c r="G1205" s="111"/>
      <c r="H1205" s="111"/>
      <c r="I1205" s="111"/>
      <c r="J1205" s="111"/>
      <c r="K1205" s="111"/>
      <c r="L1205" s="111"/>
      <c r="M1205" s="111"/>
      <c r="N1205" s="111"/>
      <c r="O1205" s="111"/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/>
      <c r="AB1205" s="111"/>
      <c r="AC1205" s="111"/>
      <c r="AD1205" s="111"/>
      <c r="AE1205" s="111"/>
      <c r="AF1205" s="111"/>
      <c r="AG1205" s="111"/>
      <c r="AH1205" s="111"/>
      <c r="AI1205" s="111"/>
    </row>
    <row r="1206" spans="1:35" ht="18.75" customHeight="1">
      <c r="A1206" s="168"/>
      <c r="B1206" s="168"/>
      <c r="C1206" s="168"/>
      <c r="D1206" s="111"/>
      <c r="E1206" s="111"/>
      <c r="F1206" s="111"/>
      <c r="G1206" s="111"/>
      <c r="H1206" s="111"/>
      <c r="I1206" s="111"/>
      <c r="J1206" s="111"/>
      <c r="K1206" s="111"/>
      <c r="L1206" s="111"/>
      <c r="M1206" s="111"/>
      <c r="N1206" s="111"/>
      <c r="O1206" s="111"/>
      <c r="P1206" s="111"/>
      <c r="Q1206" s="111"/>
      <c r="R1206" s="111"/>
      <c r="S1206" s="111"/>
      <c r="T1206" s="111"/>
      <c r="U1206" s="111"/>
      <c r="V1206" s="111"/>
      <c r="W1206" s="111"/>
      <c r="X1206" s="111"/>
      <c r="Y1206" s="111"/>
      <c r="Z1206" s="111"/>
      <c r="AA1206" s="111"/>
      <c r="AB1206" s="111"/>
      <c r="AC1206" s="111"/>
      <c r="AD1206" s="111"/>
      <c r="AE1206" s="111"/>
      <c r="AF1206" s="111"/>
      <c r="AG1206" s="111"/>
      <c r="AH1206" s="111"/>
      <c r="AI1206" s="111"/>
    </row>
    <row r="1207" spans="1:35" ht="18.75" customHeight="1">
      <c r="A1207" s="168"/>
      <c r="B1207" s="168"/>
      <c r="C1207" s="168"/>
      <c r="D1207" s="111"/>
      <c r="E1207" s="111"/>
      <c r="F1207" s="111"/>
      <c r="G1207" s="111"/>
      <c r="H1207" s="111"/>
      <c r="I1207" s="111"/>
      <c r="J1207" s="111"/>
      <c r="K1207" s="111"/>
      <c r="L1207" s="111"/>
      <c r="M1207" s="111"/>
      <c r="N1207" s="111"/>
      <c r="O1207" s="111"/>
      <c r="P1207" s="111"/>
      <c r="Q1207" s="111"/>
      <c r="R1207" s="111"/>
      <c r="S1207" s="111"/>
      <c r="T1207" s="111"/>
      <c r="U1207" s="111"/>
      <c r="V1207" s="111"/>
      <c r="W1207" s="111"/>
      <c r="X1207" s="111"/>
      <c r="Y1207" s="111"/>
      <c r="Z1207" s="111"/>
      <c r="AA1207" s="111"/>
      <c r="AB1207" s="111"/>
      <c r="AC1207" s="111"/>
      <c r="AD1207" s="111"/>
      <c r="AE1207" s="111"/>
      <c r="AF1207" s="111"/>
      <c r="AG1207" s="111"/>
      <c r="AH1207" s="111"/>
      <c r="AI1207" s="111"/>
    </row>
    <row r="1208" spans="1:35" ht="18.75" customHeight="1">
      <c r="A1208" s="168"/>
      <c r="B1208" s="168"/>
      <c r="C1208" s="168"/>
      <c r="D1208" s="111"/>
      <c r="E1208" s="111"/>
      <c r="F1208" s="111"/>
      <c r="G1208" s="111"/>
      <c r="H1208" s="111"/>
      <c r="I1208" s="111"/>
      <c r="J1208" s="111"/>
      <c r="K1208" s="111"/>
      <c r="L1208" s="111"/>
      <c r="M1208" s="111"/>
      <c r="N1208" s="111"/>
      <c r="O1208" s="111"/>
      <c r="P1208" s="111"/>
      <c r="Q1208" s="111"/>
      <c r="R1208" s="111"/>
      <c r="S1208" s="111"/>
      <c r="T1208" s="111"/>
      <c r="U1208" s="111"/>
      <c r="V1208" s="111"/>
      <c r="W1208" s="111"/>
      <c r="X1208" s="111"/>
      <c r="Y1208" s="111"/>
      <c r="Z1208" s="111"/>
      <c r="AA1208" s="111"/>
      <c r="AB1208" s="111"/>
      <c r="AC1208" s="111"/>
      <c r="AD1208" s="111"/>
      <c r="AE1208" s="111"/>
      <c r="AF1208" s="111"/>
      <c r="AG1208" s="111"/>
      <c r="AH1208" s="111"/>
      <c r="AI1208" s="111"/>
    </row>
    <row r="1209" spans="1:35" ht="18.75" customHeight="1">
      <c r="A1209" s="168"/>
      <c r="B1209" s="168"/>
      <c r="C1209" s="168"/>
      <c r="D1209" s="111"/>
      <c r="E1209" s="111"/>
      <c r="F1209" s="111"/>
      <c r="G1209" s="111"/>
      <c r="H1209" s="111"/>
      <c r="I1209" s="111"/>
      <c r="J1209" s="111"/>
      <c r="K1209" s="111"/>
      <c r="L1209" s="111"/>
      <c r="M1209" s="111"/>
      <c r="N1209" s="111"/>
      <c r="O1209" s="111"/>
      <c r="P1209" s="111"/>
      <c r="Q1209" s="111"/>
      <c r="R1209" s="111"/>
      <c r="S1209" s="111"/>
      <c r="T1209" s="111"/>
      <c r="U1209" s="111"/>
      <c r="V1209" s="111"/>
      <c r="W1209" s="111"/>
      <c r="X1209" s="111"/>
      <c r="Y1209" s="111"/>
      <c r="Z1209" s="111"/>
      <c r="AA1209" s="111"/>
      <c r="AB1209" s="111"/>
      <c r="AC1209" s="111"/>
      <c r="AD1209" s="111"/>
      <c r="AE1209" s="111"/>
      <c r="AF1209" s="111"/>
      <c r="AG1209" s="111"/>
      <c r="AH1209" s="111"/>
      <c r="AI1209" s="111"/>
    </row>
    <row r="1210" spans="1:35" ht="18.75" customHeight="1">
      <c r="A1210" s="168"/>
      <c r="B1210" s="168"/>
      <c r="C1210" s="168"/>
      <c r="D1210" s="111"/>
      <c r="E1210" s="111"/>
      <c r="F1210" s="111"/>
      <c r="G1210" s="111"/>
      <c r="H1210" s="111"/>
      <c r="I1210" s="111"/>
      <c r="J1210" s="111"/>
      <c r="K1210" s="111"/>
      <c r="L1210" s="111"/>
      <c r="M1210" s="111"/>
      <c r="N1210" s="111"/>
      <c r="O1210" s="111"/>
      <c r="P1210" s="111"/>
      <c r="Q1210" s="111"/>
      <c r="R1210" s="111"/>
      <c r="S1210" s="111"/>
      <c r="T1210" s="111"/>
      <c r="U1210" s="111"/>
      <c r="V1210" s="111"/>
      <c r="W1210" s="111"/>
      <c r="X1210" s="111"/>
      <c r="Y1210" s="111"/>
      <c r="Z1210" s="111"/>
      <c r="AA1210" s="111"/>
      <c r="AB1210" s="111"/>
      <c r="AC1210" s="111"/>
      <c r="AD1210" s="111"/>
      <c r="AE1210" s="111"/>
      <c r="AF1210" s="111"/>
      <c r="AG1210" s="111"/>
      <c r="AH1210" s="111"/>
      <c r="AI1210" s="111"/>
    </row>
    <row r="1211" spans="1:35" ht="18.75" customHeight="1">
      <c r="A1211" s="168"/>
      <c r="B1211" s="168"/>
      <c r="C1211" s="168"/>
      <c r="D1211" s="111"/>
      <c r="E1211" s="111"/>
      <c r="F1211" s="111"/>
      <c r="G1211" s="111"/>
      <c r="H1211" s="111"/>
      <c r="I1211" s="111"/>
      <c r="J1211" s="111"/>
      <c r="K1211" s="111"/>
      <c r="L1211" s="111"/>
      <c r="M1211" s="111"/>
      <c r="N1211" s="111"/>
      <c r="O1211" s="111"/>
      <c r="P1211" s="111"/>
      <c r="Q1211" s="111"/>
      <c r="R1211" s="111"/>
      <c r="S1211" s="111"/>
      <c r="T1211" s="111"/>
      <c r="U1211" s="111"/>
      <c r="V1211" s="111"/>
      <c r="W1211" s="111"/>
      <c r="X1211" s="111"/>
      <c r="Y1211" s="111"/>
      <c r="Z1211" s="111"/>
      <c r="AA1211" s="111"/>
      <c r="AB1211" s="111"/>
      <c r="AC1211" s="111"/>
      <c r="AD1211" s="111"/>
      <c r="AE1211" s="111"/>
      <c r="AF1211" s="111"/>
      <c r="AG1211" s="111"/>
      <c r="AH1211" s="111"/>
      <c r="AI1211" s="111"/>
    </row>
    <row r="1212" spans="1:35" ht="18.75" customHeight="1">
      <c r="A1212" s="168"/>
      <c r="B1212" s="168"/>
      <c r="C1212" s="168"/>
      <c r="D1212" s="111"/>
      <c r="E1212" s="111"/>
      <c r="F1212" s="111"/>
      <c r="G1212" s="111"/>
      <c r="H1212" s="111"/>
      <c r="I1212" s="111"/>
      <c r="J1212" s="111"/>
      <c r="K1212" s="111"/>
      <c r="L1212" s="111"/>
      <c r="M1212" s="111"/>
      <c r="N1212" s="111"/>
      <c r="O1212" s="111"/>
      <c r="P1212" s="111"/>
      <c r="Q1212" s="111"/>
      <c r="R1212" s="111"/>
      <c r="S1212" s="111"/>
      <c r="T1212" s="111"/>
      <c r="U1212" s="111"/>
      <c r="V1212" s="111"/>
      <c r="W1212" s="111"/>
      <c r="X1212" s="111"/>
      <c r="Y1212" s="111"/>
      <c r="Z1212" s="111"/>
      <c r="AA1212" s="111"/>
      <c r="AB1212" s="111"/>
      <c r="AC1212" s="111"/>
      <c r="AD1212" s="111"/>
      <c r="AE1212" s="111"/>
      <c r="AF1212" s="111"/>
      <c r="AG1212" s="111"/>
      <c r="AH1212" s="111"/>
      <c r="AI1212" s="111"/>
    </row>
    <row r="1213" spans="1:35" ht="18.75" customHeight="1">
      <c r="A1213" s="168"/>
      <c r="B1213" s="168"/>
      <c r="C1213" s="168"/>
      <c r="D1213" s="111"/>
      <c r="E1213" s="111"/>
      <c r="F1213" s="111"/>
      <c r="G1213" s="111"/>
      <c r="H1213" s="111"/>
      <c r="I1213" s="111"/>
      <c r="J1213" s="111"/>
      <c r="K1213" s="111"/>
      <c r="L1213" s="111"/>
      <c r="M1213" s="111"/>
      <c r="N1213" s="111"/>
      <c r="O1213" s="111"/>
      <c r="P1213" s="111"/>
      <c r="Q1213" s="111"/>
      <c r="R1213" s="111"/>
      <c r="S1213" s="111"/>
      <c r="T1213" s="111"/>
      <c r="U1213" s="111"/>
      <c r="V1213" s="111"/>
      <c r="W1213" s="111"/>
      <c r="X1213" s="111"/>
      <c r="Y1213" s="111"/>
      <c r="Z1213" s="111"/>
      <c r="AA1213" s="111"/>
      <c r="AB1213" s="111"/>
      <c r="AC1213" s="111"/>
      <c r="AD1213" s="111"/>
      <c r="AE1213" s="111"/>
      <c r="AF1213" s="111"/>
      <c r="AG1213" s="111"/>
      <c r="AH1213" s="111"/>
      <c r="AI1213" s="111"/>
    </row>
    <row r="1214" spans="1:35" ht="18.75" customHeight="1">
      <c r="A1214" s="168"/>
      <c r="B1214" s="168"/>
      <c r="C1214" s="168"/>
      <c r="D1214" s="111"/>
      <c r="E1214" s="111"/>
      <c r="F1214" s="111"/>
      <c r="G1214" s="111"/>
      <c r="H1214" s="111"/>
      <c r="I1214" s="111"/>
      <c r="J1214" s="111"/>
      <c r="K1214" s="111"/>
      <c r="L1214" s="111"/>
      <c r="M1214" s="111"/>
      <c r="N1214" s="111"/>
      <c r="O1214" s="111"/>
      <c r="P1214" s="111"/>
      <c r="Q1214" s="111"/>
      <c r="R1214" s="111"/>
      <c r="S1214" s="111"/>
      <c r="T1214" s="111"/>
      <c r="U1214" s="111"/>
      <c r="V1214" s="111"/>
      <c r="W1214" s="111"/>
      <c r="X1214" s="111"/>
      <c r="Y1214" s="111"/>
      <c r="Z1214" s="111"/>
      <c r="AA1214" s="111"/>
      <c r="AB1214" s="111"/>
      <c r="AC1214" s="111"/>
      <c r="AD1214" s="111"/>
      <c r="AE1214" s="111"/>
      <c r="AF1214" s="111"/>
      <c r="AG1214" s="111"/>
      <c r="AH1214" s="111"/>
      <c r="AI1214" s="111"/>
    </row>
    <row r="1215" spans="1:35" ht="18.75" customHeight="1">
      <c r="A1215" s="168"/>
      <c r="B1215" s="168"/>
      <c r="C1215" s="168"/>
      <c r="D1215" s="111"/>
      <c r="E1215" s="111"/>
      <c r="F1215" s="111"/>
      <c r="G1215" s="111"/>
      <c r="H1215" s="111"/>
      <c r="I1215" s="111"/>
      <c r="J1215" s="111"/>
      <c r="K1215" s="111"/>
      <c r="L1215" s="111"/>
      <c r="M1215" s="111"/>
      <c r="N1215" s="111"/>
      <c r="O1215" s="111"/>
      <c r="P1215" s="111"/>
      <c r="Q1215" s="111"/>
      <c r="R1215" s="111"/>
      <c r="S1215" s="111"/>
      <c r="T1215" s="111"/>
      <c r="U1215" s="111"/>
      <c r="V1215" s="111"/>
      <c r="W1215" s="111"/>
      <c r="X1215" s="111"/>
      <c r="Y1215" s="111"/>
      <c r="Z1215" s="111"/>
      <c r="AA1215" s="111"/>
      <c r="AB1215" s="111"/>
      <c r="AC1215" s="111"/>
      <c r="AD1215" s="111"/>
      <c r="AE1215" s="111"/>
      <c r="AF1215" s="111"/>
      <c r="AG1215" s="111"/>
      <c r="AH1215" s="111"/>
      <c r="AI1215" s="111"/>
    </row>
    <row r="1216" spans="1:35" ht="18.75" customHeight="1">
      <c r="A1216" s="168"/>
      <c r="B1216" s="168"/>
      <c r="C1216" s="168"/>
      <c r="D1216" s="111"/>
      <c r="E1216" s="111"/>
      <c r="F1216" s="111"/>
      <c r="G1216" s="111"/>
      <c r="H1216" s="111"/>
      <c r="I1216" s="111"/>
      <c r="J1216" s="111"/>
      <c r="K1216" s="111"/>
      <c r="L1216" s="111"/>
      <c r="M1216" s="111"/>
      <c r="N1216" s="111"/>
      <c r="O1216" s="111"/>
      <c r="P1216" s="111"/>
      <c r="Q1216" s="111"/>
      <c r="R1216" s="111"/>
      <c r="S1216" s="111"/>
      <c r="T1216" s="111"/>
      <c r="U1216" s="111"/>
      <c r="V1216" s="111"/>
      <c r="W1216" s="111"/>
      <c r="X1216" s="111"/>
      <c r="Y1216" s="111"/>
      <c r="Z1216" s="111"/>
      <c r="AA1216" s="111"/>
      <c r="AB1216" s="111"/>
      <c r="AC1216" s="111"/>
      <c r="AD1216" s="111"/>
      <c r="AE1216" s="111"/>
      <c r="AF1216" s="111"/>
      <c r="AG1216" s="111"/>
      <c r="AH1216" s="111"/>
      <c r="AI1216" s="111"/>
    </row>
    <row r="1217" spans="1:35" ht="18.75" customHeight="1">
      <c r="A1217" s="168"/>
      <c r="B1217" s="168"/>
      <c r="C1217" s="168"/>
      <c r="D1217" s="111"/>
      <c r="E1217" s="111"/>
      <c r="F1217" s="111"/>
      <c r="G1217" s="111"/>
      <c r="H1217" s="111"/>
      <c r="I1217" s="111"/>
      <c r="J1217" s="111"/>
      <c r="K1217" s="111"/>
      <c r="L1217" s="111"/>
      <c r="M1217" s="111"/>
      <c r="N1217" s="111"/>
      <c r="O1217" s="111"/>
      <c r="P1217" s="111"/>
      <c r="Q1217" s="111"/>
      <c r="R1217" s="111"/>
      <c r="S1217" s="111"/>
      <c r="T1217" s="111"/>
      <c r="U1217" s="111"/>
      <c r="V1217" s="111"/>
      <c r="W1217" s="111"/>
      <c r="X1217" s="111"/>
      <c r="Y1217" s="111"/>
      <c r="Z1217" s="111"/>
      <c r="AA1217" s="111"/>
      <c r="AB1217" s="111"/>
      <c r="AC1217" s="111"/>
      <c r="AD1217" s="111"/>
      <c r="AE1217" s="111"/>
      <c r="AF1217" s="111"/>
      <c r="AG1217" s="111"/>
      <c r="AH1217" s="111"/>
      <c r="AI1217" s="111"/>
    </row>
    <row r="1218" spans="1:35" ht="18.75" customHeight="1">
      <c r="A1218" s="168"/>
      <c r="B1218" s="168"/>
      <c r="C1218" s="168"/>
      <c r="D1218" s="111"/>
      <c r="E1218" s="111"/>
      <c r="F1218" s="111"/>
      <c r="G1218" s="111"/>
      <c r="H1218" s="111"/>
      <c r="I1218" s="111"/>
      <c r="J1218" s="111"/>
      <c r="K1218" s="111"/>
      <c r="L1218" s="111"/>
      <c r="M1218" s="111"/>
      <c r="N1218" s="111"/>
      <c r="O1218" s="111"/>
      <c r="P1218" s="111"/>
      <c r="Q1218" s="111"/>
      <c r="R1218" s="111"/>
      <c r="S1218" s="111"/>
      <c r="T1218" s="111"/>
      <c r="U1218" s="111"/>
      <c r="V1218" s="111"/>
      <c r="W1218" s="111"/>
      <c r="X1218" s="111"/>
      <c r="Y1218" s="111"/>
      <c r="Z1218" s="111"/>
      <c r="AA1218" s="111"/>
      <c r="AB1218" s="111"/>
      <c r="AC1218" s="111"/>
      <c r="AD1218" s="111"/>
      <c r="AE1218" s="111"/>
      <c r="AF1218" s="111"/>
      <c r="AG1218" s="111"/>
      <c r="AH1218" s="111"/>
      <c r="AI1218" s="111"/>
    </row>
    <row r="1219" spans="1:35" ht="18.75" customHeight="1">
      <c r="A1219" s="168"/>
      <c r="B1219" s="168"/>
      <c r="C1219" s="168"/>
      <c r="D1219" s="111"/>
      <c r="E1219" s="111"/>
      <c r="F1219" s="111"/>
      <c r="G1219" s="111"/>
      <c r="H1219" s="111"/>
      <c r="I1219" s="111"/>
      <c r="J1219" s="111"/>
      <c r="K1219" s="111"/>
      <c r="L1219" s="111"/>
      <c r="M1219" s="111"/>
      <c r="N1219" s="111"/>
      <c r="O1219" s="111"/>
      <c r="P1219" s="111"/>
      <c r="Q1219" s="111"/>
      <c r="R1219" s="111"/>
      <c r="S1219" s="111"/>
      <c r="T1219" s="111"/>
      <c r="U1219" s="111"/>
      <c r="V1219" s="111"/>
      <c r="W1219" s="111"/>
      <c r="X1219" s="111"/>
      <c r="Y1219" s="111"/>
      <c r="Z1219" s="111"/>
      <c r="AA1219" s="111"/>
      <c r="AB1219" s="111"/>
      <c r="AC1219" s="111"/>
      <c r="AD1219" s="111"/>
      <c r="AE1219" s="111"/>
      <c r="AF1219" s="111"/>
      <c r="AG1219" s="111"/>
      <c r="AH1219" s="111"/>
      <c r="AI1219" s="111"/>
    </row>
    <row r="1220" spans="1:35" ht="18.75" customHeight="1">
      <c r="A1220" s="168"/>
      <c r="B1220" s="168"/>
      <c r="C1220" s="168"/>
      <c r="D1220" s="111"/>
      <c r="E1220" s="111"/>
      <c r="F1220" s="111"/>
      <c r="G1220" s="111"/>
      <c r="H1220" s="111"/>
      <c r="I1220" s="111"/>
      <c r="J1220" s="111"/>
      <c r="K1220" s="111"/>
      <c r="L1220" s="111"/>
      <c r="M1220" s="111"/>
      <c r="N1220" s="111"/>
      <c r="O1220" s="111"/>
      <c r="P1220" s="111"/>
      <c r="Q1220" s="111"/>
      <c r="R1220" s="111"/>
      <c r="S1220" s="111"/>
      <c r="T1220" s="111"/>
      <c r="U1220" s="111"/>
      <c r="V1220" s="111"/>
      <c r="W1220" s="111"/>
      <c r="X1220" s="111"/>
      <c r="Y1220" s="111"/>
      <c r="Z1220" s="111"/>
      <c r="AA1220" s="111"/>
      <c r="AB1220" s="111"/>
      <c r="AC1220" s="111"/>
      <c r="AD1220" s="111"/>
      <c r="AE1220" s="111"/>
      <c r="AF1220" s="111"/>
      <c r="AG1220" s="111"/>
      <c r="AH1220" s="111"/>
      <c r="AI1220" s="111"/>
    </row>
    <row r="1221" spans="1:35" ht="18.75" customHeight="1">
      <c r="A1221" s="168"/>
      <c r="B1221" s="168"/>
      <c r="C1221" s="168"/>
      <c r="D1221" s="111"/>
      <c r="E1221" s="111"/>
      <c r="F1221" s="111"/>
      <c r="G1221" s="111"/>
      <c r="H1221" s="111"/>
      <c r="I1221" s="111"/>
      <c r="J1221" s="111"/>
      <c r="K1221" s="111"/>
      <c r="L1221" s="111"/>
      <c r="M1221" s="111"/>
      <c r="N1221" s="111"/>
      <c r="O1221" s="111"/>
      <c r="P1221" s="111"/>
      <c r="Q1221" s="111"/>
      <c r="R1221" s="111"/>
      <c r="S1221" s="111"/>
      <c r="T1221" s="111"/>
      <c r="U1221" s="111"/>
      <c r="V1221" s="111"/>
      <c r="W1221" s="111"/>
      <c r="X1221" s="111"/>
      <c r="Y1221" s="111"/>
      <c r="Z1221" s="111"/>
      <c r="AA1221" s="111"/>
      <c r="AB1221" s="111"/>
      <c r="AC1221" s="111"/>
      <c r="AD1221" s="111"/>
      <c r="AE1221" s="111"/>
      <c r="AF1221" s="111"/>
      <c r="AG1221" s="111"/>
      <c r="AH1221" s="111"/>
      <c r="AI1221" s="111"/>
    </row>
    <row r="1222" spans="1:35" ht="18.75" customHeight="1">
      <c r="A1222" s="168"/>
      <c r="B1222" s="168"/>
      <c r="C1222" s="168"/>
      <c r="D1222" s="111"/>
      <c r="E1222" s="111"/>
      <c r="F1222" s="111"/>
      <c r="G1222" s="111"/>
      <c r="H1222" s="111"/>
      <c r="I1222" s="111"/>
      <c r="J1222" s="111"/>
      <c r="K1222" s="111"/>
      <c r="L1222" s="111"/>
      <c r="M1222" s="111"/>
      <c r="N1222" s="111"/>
      <c r="O1222" s="111"/>
      <c r="P1222" s="111"/>
      <c r="Q1222" s="111"/>
      <c r="R1222" s="111"/>
      <c r="S1222" s="111"/>
      <c r="T1222" s="111"/>
      <c r="U1222" s="111"/>
      <c r="V1222" s="111"/>
      <c r="W1222" s="111"/>
      <c r="X1222" s="111"/>
      <c r="Y1222" s="111"/>
      <c r="Z1222" s="111"/>
      <c r="AA1222" s="111"/>
      <c r="AB1222" s="111"/>
      <c r="AC1222" s="111"/>
      <c r="AD1222" s="111"/>
      <c r="AE1222" s="111"/>
      <c r="AF1222" s="111"/>
      <c r="AG1222" s="111"/>
      <c r="AH1222" s="111"/>
      <c r="AI1222" s="111"/>
    </row>
    <row r="1223" spans="1:35" ht="18.75" customHeight="1">
      <c r="A1223" s="168"/>
      <c r="B1223" s="168"/>
      <c r="C1223" s="168"/>
      <c r="D1223" s="111"/>
      <c r="E1223" s="111"/>
      <c r="F1223" s="111"/>
      <c r="G1223" s="111"/>
      <c r="H1223" s="111"/>
      <c r="I1223" s="111"/>
      <c r="J1223" s="111"/>
      <c r="K1223" s="111"/>
      <c r="L1223" s="111"/>
      <c r="M1223" s="111"/>
      <c r="N1223" s="111"/>
      <c r="O1223" s="111"/>
      <c r="P1223" s="111"/>
      <c r="Q1223" s="111"/>
      <c r="R1223" s="111"/>
      <c r="S1223" s="111"/>
      <c r="T1223" s="111"/>
      <c r="U1223" s="111"/>
      <c r="V1223" s="111"/>
      <c r="W1223" s="111"/>
      <c r="X1223" s="111"/>
      <c r="Y1223" s="111"/>
      <c r="Z1223" s="111"/>
      <c r="AA1223" s="111"/>
      <c r="AB1223" s="111"/>
      <c r="AC1223" s="111"/>
      <c r="AD1223" s="111"/>
      <c r="AE1223" s="111"/>
      <c r="AF1223" s="111"/>
      <c r="AG1223" s="111"/>
      <c r="AH1223" s="111"/>
      <c r="AI1223" s="111"/>
    </row>
    <row r="1224" spans="1:35" ht="18.75" customHeight="1">
      <c r="A1224" s="168"/>
      <c r="B1224" s="168"/>
      <c r="C1224" s="168"/>
      <c r="D1224" s="111"/>
      <c r="E1224" s="111"/>
      <c r="F1224" s="111"/>
      <c r="G1224" s="111"/>
      <c r="H1224" s="111"/>
      <c r="I1224" s="111"/>
      <c r="J1224" s="111"/>
      <c r="K1224" s="111"/>
      <c r="L1224" s="111"/>
      <c r="M1224" s="111"/>
      <c r="N1224" s="111"/>
      <c r="O1224" s="111"/>
      <c r="P1224" s="111"/>
      <c r="Q1224" s="111"/>
      <c r="R1224" s="111"/>
      <c r="S1224" s="111"/>
      <c r="T1224" s="111"/>
      <c r="U1224" s="111"/>
      <c r="V1224" s="111"/>
      <c r="W1224" s="111"/>
      <c r="X1224" s="111"/>
      <c r="Y1224" s="111"/>
      <c r="Z1224" s="111"/>
      <c r="AA1224" s="111"/>
      <c r="AB1224" s="111"/>
      <c r="AC1224" s="111"/>
      <c r="AD1224" s="111"/>
      <c r="AE1224" s="111"/>
      <c r="AF1224" s="111"/>
      <c r="AG1224" s="111"/>
      <c r="AH1224" s="111"/>
      <c r="AI1224" s="111"/>
    </row>
    <row r="1225" spans="1:35" ht="18.75" customHeight="1">
      <c r="A1225" s="168"/>
      <c r="B1225" s="168"/>
      <c r="C1225" s="168"/>
      <c r="D1225" s="111"/>
      <c r="E1225" s="111"/>
      <c r="F1225" s="111"/>
      <c r="G1225" s="111"/>
      <c r="H1225" s="111"/>
      <c r="I1225" s="111"/>
      <c r="J1225" s="111"/>
      <c r="K1225" s="111"/>
      <c r="L1225" s="111"/>
      <c r="M1225" s="111"/>
      <c r="N1225" s="111"/>
      <c r="O1225" s="111"/>
      <c r="P1225" s="111"/>
      <c r="Q1225" s="111"/>
      <c r="R1225" s="111"/>
      <c r="S1225" s="111"/>
      <c r="T1225" s="111"/>
      <c r="U1225" s="111"/>
      <c r="V1225" s="111"/>
      <c r="W1225" s="111"/>
      <c r="X1225" s="111"/>
      <c r="Y1225" s="111"/>
      <c r="Z1225" s="111"/>
      <c r="AA1225" s="111"/>
      <c r="AB1225" s="111"/>
      <c r="AC1225" s="111"/>
      <c r="AD1225" s="111"/>
      <c r="AE1225" s="111"/>
      <c r="AF1225" s="111"/>
      <c r="AG1225" s="111"/>
      <c r="AH1225" s="111"/>
      <c r="AI1225" s="111"/>
    </row>
    <row r="1226" spans="1:35" ht="18.75" customHeight="1">
      <c r="A1226" s="168"/>
      <c r="B1226" s="168"/>
      <c r="C1226" s="168"/>
      <c r="D1226" s="111"/>
      <c r="E1226" s="111"/>
      <c r="F1226" s="111"/>
      <c r="G1226" s="111"/>
      <c r="H1226" s="111"/>
      <c r="I1226" s="111"/>
      <c r="J1226" s="111"/>
      <c r="K1226" s="111"/>
      <c r="L1226" s="111"/>
      <c r="M1226" s="111"/>
      <c r="N1226" s="111"/>
      <c r="O1226" s="111"/>
      <c r="P1226" s="111"/>
      <c r="Q1226" s="111"/>
      <c r="R1226" s="111"/>
      <c r="S1226" s="111"/>
      <c r="T1226" s="111"/>
      <c r="U1226" s="111"/>
      <c r="V1226" s="111"/>
      <c r="W1226" s="111"/>
      <c r="X1226" s="111"/>
      <c r="Y1226" s="111"/>
      <c r="Z1226" s="111"/>
      <c r="AA1226" s="111"/>
      <c r="AB1226" s="111"/>
      <c r="AC1226" s="111"/>
      <c r="AD1226" s="111"/>
      <c r="AE1226" s="111"/>
      <c r="AF1226" s="111"/>
      <c r="AG1226" s="111"/>
      <c r="AH1226" s="111"/>
      <c r="AI1226" s="111"/>
    </row>
    <row r="1227" spans="1:35" ht="18.75" customHeight="1">
      <c r="A1227" s="168"/>
      <c r="B1227" s="168"/>
      <c r="C1227" s="168"/>
      <c r="D1227" s="111"/>
      <c r="E1227" s="111"/>
      <c r="F1227" s="111"/>
      <c r="G1227" s="111"/>
      <c r="H1227" s="111"/>
      <c r="I1227" s="111"/>
      <c r="J1227" s="111"/>
      <c r="K1227" s="111"/>
      <c r="L1227" s="111"/>
      <c r="M1227" s="111"/>
      <c r="N1227" s="111"/>
      <c r="O1227" s="111"/>
      <c r="P1227" s="111"/>
      <c r="Q1227" s="111"/>
      <c r="R1227" s="111"/>
      <c r="S1227" s="111"/>
      <c r="T1227" s="111"/>
      <c r="U1227" s="111"/>
      <c r="V1227" s="111"/>
      <c r="W1227" s="111"/>
      <c r="X1227" s="111"/>
      <c r="Y1227" s="111"/>
      <c r="Z1227" s="111"/>
      <c r="AA1227" s="111"/>
      <c r="AB1227" s="111"/>
      <c r="AC1227" s="111"/>
      <c r="AD1227" s="111"/>
      <c r="AE1227" s="111"/>
      <c r="AF1227" s="111"/>
      <c r="AG1227" s="111"/>
      <c r="AH1227" s="111"/>
      <c r="AI1227" s="111"/>
    </row>
    <row r="1228" spans="1:35" ht="18.75" customHeight="1">
      <c r="A1228" s="168"/>
      <c r="B1228" s="168"/>
      <c r="C1228" s="168"/>
      <c r="D1228" s="111"/>
      <c r="E1228" s="111"/>
      <c r="F1228" s="111"/>
      <c r="G1228" s="111"/>
      <c r="H1228" s="111"/>
      <c r="I1228" s="111"/>
      <c r="J1228" s="111"/>
      <c r="K1228" s="111"/>
      <c r="L1228" s="111"/>
      <c r="M1228" s="111"/>
      <c r="N1228" s="111"/>
      <c r="O1228" s="111"/>
      <c r="P1228" s="111"/>
      <c r="Q1228" s="111"/>
      <c r="R1228" s="111"/>
      <c r="S1228" s="111"/>
      <c r="T1228" s="111"/>
      <c r="U1228" s="111"/>
      <c r="V1228" s="111"/>
      <c r="W1228" s="111"/>
      <c r="X1228" s="111"/>
      <c r="Y1228" s="111"/>
      <c r="Z1228" s="111"/>
      <c r="AA1228" s="111"/>
      <c r="AB1228" s="111"/>
      <c r="AC1228" s="111"/>
      <c r="AD1228" s="111"/>
      <c r="AE1228" s="111"/>
      <c r="AF1228" s="111"/>
      <c r="AG1228" s="111"/>
      <c r="AH1228" s="111"/>
      <c r="AI1228" s="111"/>
    </row>
    <row r="1229" spans="1:35" ht="18.75" customHeight="1">
      <c r="A1229" s="168"/>
      <c r="B1229" s="168"/>
      <c r="C1229" s="168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  <c r="AG1229" s="111"/>
      <c r="AH1229" s="111"/>
      <c r="AI1229" s="111"/>
    </row>
    <row r="1230" spans="1:35" ht="18.75" customHeight="1">
      <c r="A1230" s="168"/>
      <c r="B1230" s="168"/>
      <c r="C1230" s="168"/>
      <c r="D1230" s="111"/>
      <c r="E1230" s="111"/>
      <c r="F1230" s="111"/>
      <c r="G1230" s="111"/>
      <c r="H1230" s="111"/>
      <c r="I1230" s="111"/>
      <c r="J1230" s="111"/>
      <c r="K1230" s="111"/>
      <c r="L1230" s="111"/>
      <c r="M1230" s="111"/>
      <c r="N1230" s="111"/>
      <c r="O1230" s="111"/>
      <c r="P1230" s="111"/>
      <c r="Q1230" s="111"/>
      <c r="R1230" s="111"/>
      <c r="S1230" s="111"/>
      <c r="T1230" s="111"/>
      <c r="U1230" s="111"/>
      <c r="V1230" s="111"/>
      <c r="W1230" s="111"/>
      <c r="X1230" s="111"/>
      <c r="Y1230" s="111"/>
      <c r="Z1230" s="111"/>
      <c r="AA1230" s="111"/>
      <c r="AB1230" s="111"/>
      <c r="AC1230" s="111"/>
      <c r="AD1230" s="111"/>
      <c r="AE1230" s="111"/>
      <c r="AF1230" s="111"/>
      <c r="AG1230" s="111"/>
      <c r="AH1230" s="111"/>
      <c r="AI1230" s="111"/>
    </row>
    <row r="1231" spans="1:35" ht="18.75" customHeight="1">
      <c r="A1231" s="168"/>
      <c r="B1231" s="168"/>
      <c r="C1231" s="168"/>
      <c r="D1231" s="111"/>
      <c r="E1231" s="111"/>
      <c r="F1231" s="111"/>
      <c r="G1231" s="111"/>
      <c r="H1231" s="111"/>
      <c r="I1231" s="111"/>
      <c r="J1231" s="111"/>
      <c r="K1231" s="111"/>
      <c r="L1231" s="111"/>
      <c r="M1231" s="111"/>
      <c r="N1231" s="111"/>
      <c r="O1231" s="111"/>
      <c r="P1231" s="111"/>
      <c r="Q1231" s="111"/>
      <c r="R1231" s="111"/>
      <c r="S1231" s="111"/>
      <c r="T1231" s="111"/>
      <c r="U1231" s="111"/>
      <c r="V1231" s="111"/>
      <c r="W1231" s="111"/>
      <c r="X1231" s="111"/>
      <c r="Y1231" s="111"/>
      <c r="Z1231" s="111"/>
      <c r="AA1231" s="111"/>
      <c r="AB1231" s="111"/>
      <c r="AC1231" s="111"/>
      <c r="AD1231" s="111"/>
      <c r="AE1231" s="111"/>
      <c r="AF1231" s="111"/>
      <c r="AG1231" s="111"/>
      <c r="AH1231" s="111"/>
      <c r="AI1231" s="111"/>
    </row>
    <row r="1232" spans="1:35" ht="18.75" customHeight="1">
      <c r="A1232" s="168"/>
      <c r="B1232" s="168"/>
      <c r="C1232" s="168"/>
      <c r="D1232" s="111"/>
      <c r="E1232" s="111"/>
      <c r="F1232" s="111"/>
      <c r="G1232" s="111"/>
      <c r="H1232" s="111"/>
      <c r="I1232" s="111"/>
      <c r="J1232" s="111"/>
      <c r="K1232" s="111"/>
      <c r="L1232" s="111"/>
      <c r="M1232" s="111"/>
      <c r="N1232" s="111"/>
      <c r="O1232" s="111"/>
      <c r="P1232" s="111"/>
      <c r="Q1232" s="111"/>
      <c r="R1232" s="111"/>
      <c r="S1232" s="111"/>
      <c r="T1232" s="111"/>
      <c r="U1232" s="111"/>
      <c r="V1232" s="111"/>
      <c r="W1232" s="111"/>
      <c r="X1232" s="111"/>
      <c r="Y1232" s="111"/>
      <c r="Z1232" s="111"/>
      <c r="AA1232" s="111"/>
      <c r="AB1232" s="111"/>
      <c r="AC1232" s="111"/>
      <c r="AD1232" s="111"/>
      <c r="AE1232" s="111"/>
      <c r="AF1232" s="111"/>
      <c r="AG1232" s="111"/>
      <c r="AH1232" s="111"/>
      <c r="AI1232" s="111"/>
    </row>
    <row r="1233" spans="1:35" ht="18.75" customHeight="1">
      <c r="A1233" s="168"/>
      <c r="B1233" s="168"/>
      <c r="C1233" s="168"/>
      <c r="D1233" s="111"/>
      <c r="E1233" s="111"/>
      <c r="F1233" s="111"/>
      <c r="G1233" s="111"/>
      <c r="H1233" s="111"/>
      <c r="I1233" s="111"/>
      <c r="J1233" s="111"/>
      <c r="K1233" s="111"/>
      <c r="L1233" s="111"/>
      <c r="M1233" s="111"/>
      <c r="N1233" s="111"/>
      <c r="O1233" s="111"/>
      <c r="P1233" s="111"/>
      <c r="Q1233" s="111"/>
      <c r="R1233" s="111"/>
      <c r="S1233" s="111"/>
      <c r="T1233" s="111"/>
      <c r="U1233" s="111"/>
      <c r="V1233" s="111"/>
      <c r="W1233" s="111"/>
      <c r="X1233" s="111"/>
      <c r="Y1233" s="111"/>
      <c r="Z1233" s="111"/>
      <c r="AA1233" s="111"/>
      <c r="AB1233" s="111"/>
      <c r="AC1233" s="111"/>
      <c r="AD1233" s="111"/>
      <c r="AE1233" s="111"/>
      <c r="AF1233" s="111"/>
      <c r="AG1233" s="111"/>
      <c r="AH1233" s="111"/>
      <c r="AI1233" s="111"/>
    </row>
    <row r="1234" spans="1:35" ht="18.75" customHeight="1">
      <c r="A1234" s="168"/>
      <c r="B1234" s="168"/>
      <c r="C1234" s="168"/>
      <c r="D1234" s="111"/>
      <c r="E1234" s="111"/>
      <c r="F1234" s="111"/>
      <c r="G1234" s="111"/>
      <c r="H1234" s="111"/>
      <c r="I1234" s="111"/>
      <c r="J1234" s="111"/>
      <c r="K1234" s="111"/>
      <c r="L1234" s="111"/>
      <c r="M1234" s="111"/>
      <c r="N1234" s="111"/>
      <c r="O1234" s="111"/>
      <c r="P1234" s="111"/>
      <c r="Q1234" s="111"/>
      <c r="R1234" s="111"/>
      <c r="S1234" s="111"/>
      <c r="T1234" s="111"/>
      <c r="U1234" s="111"/>
      <c r="V1234" s="111"/>
      <c r="W1234" s="111"/>
      <c r="X1234" s="111"/>
      <c r="Y1234" s="111"/>
      <c r="Z1234" s="111"/>
      <c r="AA1234" s="111"/>
      <c r="AB1234" s="111"/>
      <c r="AC1234" s="111"/>
      <c r="AD1234" s="111"/>
      <c r="AE1234" s="111"/>
      <c r="AF1234" s="111"/>
      <c r="AG1234" s="111"/>
      <c r="AH1234" s="111"/>
      <c r="AI1234" s="111"/>
    </row>
    <row r="1235" spans="1:35" ht="18.75" customHeight="1">
      <c r="A1235" s="168"/>
      <c r="B1235" s="168"/>
      <c r="C1235" s="168"/>
      <c r="D1235" s="111"/>
      <c r="E1235" s="111"/>
      <c r="F1235" s="111"/>
      <c r="G1235" s="111"/>
      <c r="H1235" s="111"/>
      <c r="I1235" s="111"/>
      <c r="J1235" s="111"/>
      <c r="K1235" s="111"/>
      <c r="L1235" s="111"/>
      <c r="M1235" s="111"/>
      <c r="N1235" s="111"/>
      <c r="O1235" s="111"/>
      <c r="P1235" s="111"/>
      <c r="Q1235" s="111"/>
      <c r="R1235" s="111"/>
      <c r="S1235" s="111"/>
      <c r="T1235" s="111"/>
      <c r="U1235" s="111"/>
      <c r="V1235" s="111"/>
      <c r="W1235" s="111"/>
      <c r="X1235" s="111"/>
      <c r="Y1235" s="111"/>
      <c r="Z1235" s="111"/>
      <c r="AA1235" s="111"/>
      <c r="AB1235" s="111"/>
      <c r="AC1235" s="111"/>
      <c r="AD1235" s="111"/>
      <c r="AE1235" s="111"/>
      <c r="AF1235" s="111"/>
      <c r="AG1235" s="111"/>
      <c r="AH1235" s="111"/>
      <c r="AI1235" s="111"/>
    </row>
    <row r="1236" spans="1:35" ht="18.75" customHeight="1">
      <c r="A1236" s="168"/>
      <c r="B1236" s="168"/>
      <c r="C1236" s="168"/>
      <c r="D1236" s="111"/>
      <c r="E1236" s="111"/>
      <c r="F1236" s="111"/>
      <c r="G1236" s="111"/>
      <c r="H1236" s="111"/>
      <c r="I1236" s="111"/>
      <c r="J1236" s="111"/>
      <c r="K1236" s="111"/>
      <c r="L1236" s="111"/>
      <c r="M1236" s="111"/>
      <c r="N1236" s="111"/>
      <c r="O1236" s="111"/>
      <c r="P1236" s="111"/>
      <c r="Q1236" s="111"/>
      <c r="R1236" s="111"/>
      <c r="S1236" s="111"/>
      <c r="T1236" s="111"/>
      <c r="U1236" s="111"/>
      <c r="V1236" s="111"/>
      <c r="W1236" s="111"/>
      <c r="X1236" s="111"/>
      <c r="Y1236" s="111"/>
      <c r="Z1236" s="111"/>
      <c r="AA1236" s="111"/>
      <c r="AB1236" s="111"/>
      <c r="AC1236" s="111"/>
      <c r="AD1236" s="111"/>
      <c r="AE1236" s="111"/>
      <c r="AF1236" s="111"/>
      <c r="AG1236" s="111"/>
      <c r="AH1236" s="111"/>
      <c r="AI1236" s="111"/>
    </row>
    <row r="1237" spans="1:35" ht="18.75" customHeight="1">
      <c r="A1237" s="168"/>
      <c r="B1237" s="168"/>
      <c r="C1237" s="168"/>
      <c r="D1237" s="111"/>
      <c r="E1237" s="111"/>
      <c r="F1237" s="111"/>
      <c r="G1237" s="111"/>
      <c r="H1237" s="111"/>
      <c r="I1237" s="111"/>
      <c r="J1237" s="111"/>
      <c r="K1237" s="111"/>
      <c r="L1237" s="111"/>
      <c r="M1237" s="111"/>
      <c r="N1237" s="111"/>
      <c r="O1237" s="111"/>
      <c r="P1237" s="111"/>
      <c r="Q1237" s="111"/>
      <c r="R1237" s="111"/>
      <c r="S1237" s="111"/>
      <c r="T1237" s="111"/>
      <c r="U1237" s="111"/>
      <c r="V1237" s="111"/>
      <c r="W1237" s="111"/>
      <c r="X1237" s="111"/>
      <c r="Y1237" s="111"/>
      <c r="Z1237" s="111"/>
      <c r="AA1237" s="111"/>
      <c r="AB1237" s="111"/>
      <c r="AC1237" s="111"/>
      <c r="AD1237" s="111"/>
      <c r="AE1237" s="111"/>
      <c r="AF1237" s="111"/>
      <c r="AG1237" s="111"/>
      <c r="AH1237" s="111"/>
      <c r="AI1237" s="111"/>
    </row>
    <row r="1238" spans="1:35" ht="18.75" customHeight="1">
      <c r="A1238" s="168"/>
      <c r="B1238" s="168"/>
      <c r="C1238" s="168"/>
      <c r="D1238" s="111"/>
      <c r="E1238" s="111"/>
      <c r="F1238" s="111"/>
      <c r="G1238" s="111"/>
      <c r="H1238" s="111"/>
      <c r="I1238" s="111"/>
      <c r="J1238" s="111"/>
      <c r="K1238" s="111"/>
      <c r="L1238" s="111"/>
      <c r="M1238" s="111"/>
      <c r="N1238" s="111"/>
      <c r="O1238" s="111"/>
      <c r="P1238" s="111"/>
      <c r="Q1238" s="111"/>
      <c r="R1238" s="111"/>
      <c r="S1238" s="111"/>
      <c r="T1238" s="111"/>
      <c r="U1238" s="111"/>
      <c r="V1238" s="111"/>
      <c r="W1238" s="111"/>
      <c r="X1238" s="111"/>
      <c r="Y1238" s="111"/>
      <c r="Z1238" s="111"/>
      <c r="AA1238" s="111"/>
      <c r="AB1238" s="111"/>
      <c r="AC1238" s="111"/>
      <c r="AD1238" s="111"/>
      <c r="AE1238" s="111"/>
      <c r="AF1238" s="111"/>
      <c r="AG1238" s="111"/>
      <c r="AH1238" s="111"/>
      <c r="AI1238" s="111"/>
    </row>
    <row r="1239" spans="1:35" ht="18.75" customHeight="1">
      <c r="A1239" s="168"/>
      <c r="B1239" s="168"/>
      <c r="C1239" s="168"/>
      <c r="D1239" s="111"/>
      <c r="E1239" s="111"/>
      <c r="F1239" s="111"/>
      <c r="G1239" s="111"/>
      <c r="H1239" s="111"/>
      <c r="I1239" s="111"/>
      <c r="J1239" s="111"/>
      <c r="K1239" s="111"/>
      <c r="L1239" s="111"/>
      <c r="M1239" s="111"/>
      <c r="N1239" s="111"/>
      <c r="O1239" s="111"/>
      <c r="P1239" s="111"/>
      <c r="Q1239" s="111"/>
      <c r="R1239" s="111"/>
      <c r="S1239" s="111"/>
      <c r="T1239" s="111"/>
      <c r="U1239" s="111"/>
      <c r="V1239" s="111"/>
      <c r="W1239" s="111"/>
      <c r="X1239" s="111"/>
      <c r="Y1239" s="111"/>
      <c r="Z1239" s="111"/>
      <c r="AA1239" s="111"/>
      <c r="AB1239" s="111"/>
      <c r="AC1239" s="111"/>
      <c r="AD1239" s="111"/>
      <c r="AE1239" s="111"/>
      <c r="AF1239" s="111"/>
      <c r="AG1239" s="111"/>
      <c r="AH1239" s="111"/>
      <c r="AI1239" s="111"/>
    </row>
    <row r="1240" spans="1:35" ht="18.75" customHeight="1">
      <c r="A1240" s="168"/>
      <c r="B1240" s="168"/>
      <c r="C1240" s="168"/>
      <c r="D1240" s="111"/>
      <c r="E1240" s="111"/>
      <c r="F1240" s="111"/>
      <c r="G1240" s="111"/>
      <c r="H1240" s="111"/>
      <c r="I1240" s="111"/>
      <c r="J1240" s="111"/>
      <c r="K1240" s="111"/>
      <c r="L1240" s="111"/>
      <c r="M1240" s="111"/>
      <c r="N1240" s="111"/>
      <c r="O1240" s="111"/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/>
      <c r="AB1240" s="111"/>
      <c r="AC1240" s="111"/>
      <c r="AD1240" s="111"/>
      <c r="AE1240" s="111"/>
      <c r="AF1240" s="111"/>
      <c r="AG1240" s="111"/>
      <c r="AH1240" s="111"/>
      <c r="AI1240" s="111"/>
    </row>
    <row r="1241" spans="1:35" ht="18.75" customHeight="1">
      <c r="A1241" s="168"/>
      <c r="B1241" s="168"/>
      <c r="C1241" s="168"/>
      <c r="D1241" s="111"/>
      <c r="E1241" s="111"/>
      <c r="F1241" s="111"/>
      <c r="G1241" s="111"/>
      <c r="H1241" s="111"/>
      <c r="I1241" s="111"/>
      <c r="J1241" s="111"/>
      <c r="K1241" s="111"/>
      <c r="L1241" s="111"/>
      <c r="M1241" s="111"/>
      <c r="N1241" s="111"/>
      <c r="O1241" s="111"/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/>
      <c r="AB1241" s="111"/>
      <c r="AC1241" s="111"/>
      <c r="AD1241" s="111"/>
      <c r="AE1241" s="111"/>
      <c r="AF1241" s="111"/>
      <c r="AG1241" s="111"/>
      <c r="AH1241" s="111"/>
      <c r="AI1241" s="111"/>
    </row>
    <row r="1242" spans="1:35" ht="18.75" customHeight="1">
      <c r="A1242" s="168"/>
      <c r="B1242" s="168"/>
      <c r="C1242" s="168"/>
      <c r="D1242" s="111"/>
      <c r="E1242" s="111"/>
      <c r="F1242" s="111"/>
      <c r="G1242" s="111"/>
      <c r="H1242" s="111"/>
      <c r="I1242" s="111"/>
      <c r="J1242" s="111"/>
      <c r="K1242" s="111"/>
      <c r="L1242" s="111"/>
      <c r="M1242" s="111"/>
      <c r="N1242" s="111"/>
      <c r="O1242" s="111"/>
      <c r="P1242" s="111"/>
      <c r="Q1242" s="111"/>
      <c r="R1242" s="111"/>
      <c r="S1242" s="111"/>
      <c r="T1242" s="111"/>
      <c r="U1242" s="111"/>
      <c r="V1242" s="111"/>
      <c r="W1242" s="111"/>
      <c r="X1242" s="111"/>
      <c r="Y1242" s="111"/>
      <c r="Z1242" s="111"/>
      <c r="AA1242" s="111"/>
      <c r="AB1242" s="111"/>
      <c r="AC1242" s="111"/>
      <c r="AD1242" s="111"/>
      <c r="AE1242" s="111"/>
      <c r="AF1242" s="111"/>
      <c r="AG1242" s="111"/>
      <c r="AH1242" s="111"/>
      <c r="AI1242" s="111"/>
    </row>
    <row r="1243" spans="1:35" ht="18.75" customHeight="1">
      <c r="A1243" s="168"/>
      <c r="B1243" s="168"/>
      <c r="C1243" s="168"/>
      <c r="D1243" s="111"/>
      <c r="E1243" s="111"/>
      <c r="F1243" s="111"/>
      <c r="G1243" s="111"/>
      <c r="H1243" s="111"/>
      <c r="I1243" s="111"/>
      <c r="J1243" s="111"/>
      <c r="K1243" s="111"/>
      <c r="L1243" s="111"/>
      <c r="M1243" s="111"/>
      <c r="N1243" s="111"/>
      <c r="O1243" s="111"/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/>
      <c r="AB1243" s="111"/>
      <c r="AC1243" s="111"/>
      <c r="AD1243" s="111"/>
      <c r="AE1243" s="111"/>
      <c r="AF1243" s="111"/>
      <c r="AG1243" s="111"/>
      <c r="AH1243" s="111"/>
      <c r="AI1243" s="111"/>
    </row>
    <row r="1244" spans="1:35" ht="18.75" customHeight="1">
      <c r="A1244" s="168"/>
      <c r="B1244" s="168"/>
      <c r="C1244" s="168"/>
      <c r="D1244" s="111"/>
      <c r="E1244" s="111"/>
      <c r="F1244" s="111"/>
      <c r="G1244" s="111"/>
      <c r="H1244" s="111"/>
      <c r="I1244" s="111"/>
      <c r="J1244" s="111"/>
      <c r="K1244" s="111"/>
      <c r="L1244" s="111"/>
      <c r="M1244" s="111"/>
      <c r="N1244" s="111"/>
      <c r="O1244" s="111"/>
      <c r="P1244" s="111"/>
      <c r="Q1244" s="111"/>
      <c r="R1244" s="111"/>
      <c r="S1244" s="111"/>
      <c r="T1244" s="111"/>
      <c r="U1244" s="111"/>
      <c r="V1244" s="111"/>
      <c r="W1244" s="111"/>
      <c r="X1244" s="111"/>
      <c r="Y1244" s="111"/>
      <c r="Z1244" s="111"/>
      <c r="AA1244" s="111"/>
      <c r="AB1244" s="111"/>
      <c r="AC1244" s="111"/>
      <c r="AD1244" s="111"/>
      <c r="AE1244" s="111"/>
      <c r="AF1244" s="111"/>
      <c r="AG1244" s="111"/>
      <c r="AH1244" s="111"/>
      <c r="AI1244" s="111"/>
    </row>
    <row r="1245" spans="1:35" ht="18.75" customHeight="1">
      <c r="A1245" s="168"/>
      <c r="B1245" s="168"/>
      <c r="C1245" s="168"/>
      <c r="D1245" s="111"/>
      <c r="E1245" s="111"/>
      <c r="F1245" s="111"/>
      <c r="G1245" s="111"/>
      <c r="H1245" s="111"/>
      <c r="I1245" s="111"/>
      <c r="J1245" s="111"/>
      <c r="K1245" s="111"/>
      <c r="L1245" s="111"/>
      <c r="M1245" s="111"/>
      <c r="N1245" s="111"/>
      <c r="O1245" s="111"/>
      <c r="P1245" s="111"/>
      <c r="Q1245" s="111"/>
      <c r="R1245" s="111"/>
      <c r="S1245" s="111"/>
      <c r="T1245" s="111"/>
      <c r="U1245" s="111"/>
      <c r="V1245" s="111"/>
      <c r="W1245" s="111"/>
      <c r="X1245" s="111"/>
      <c r="Y1245" s="111"/>
      <c r="Z1245" s="111"/>
      <c r="AA1245" s="111"/>
      <c r="AB1245" s="111"/>
      <c r="AC1245" s="111"/>
      <c r="AD1245" s="111"/>
      <c r="AE1245" s="111"/>
      <c r="AF1245" s="111"/>
      <c r="AG1245" s="111"/>
      <c r="AH1245" s="111"/>
      <c r="AI1245" s="111"/>
    </row>
    <row r="1246" spans="1:35" ht="18.75" customHeight="1">
      <c r="A1246" s="168"/>
      <c r="B1246" s="168"/>
      <c r="C1246" s="168"/>
      <c r="D1246" s="111"/>
      <c r="E1246" s="111"/>
      <c r="F1246" s="111"/>
      <c r="G1246" s="111"/>
      <c r="H1246" s="111"/>
      <c r="I1246" s="111"/>
      <c r="J1246" s="111"/>
      <c r="K1246" s="111"/>
      <c r="L1246" s="111"/>
      <c r="M1246" s="111"/>
      <c r="N1246" s="111"/>
      <c r="O1246" s="111"/>
      <c r="P1246" s="111"/>
      <c r="Q1246" s="111"/>
      <c r="R1246" s="111"/>
      <c r="S1246" s="111"/>
      <c r="T1246" s="111"/>
      <c r="U1246" s="111"/>
      <c r="V1246" s="111"/>
      <c r="W1246" s="111"/>
      <c r="X1246" s="111"/>
      <c r="Y1246" s="111"/>
      <c r="Z1246" s="111"/>
      <c r="AA1246" s="111"/>
      <c r="AB1246" s="111"/>
      <c r="AC1246" s="111"/>
      <c r="AD1246" s="111"/>
      <c r="AE1246" s="111"/>
      <c r="AF1246" s="111"/>
      <c r="AG1246" s="111"/>
      <c r="AH1246" s="111"/>
      <c r="AI1246" s="111"/>
    </row>
    <row r="1247" spans="1:35" ht="18.75" customHeight="1">
      <c r="A1247" s="168"/>
      <c r="B1247" s="168"/>
      <c r="C1247" s="168"/>
      <c r="D1247" s="111"/>
      <c r="E1247" s="111"/>
      <c r="F1247" s="111"/>
      <c r="G1247" s="111"/>
      <c r="H1247" s="111"/>
      <c r="I1247" s="111"/>
      <c r="J1247" s="111"/>
      <c r="K1247" s="111"/>
      <c r="L1247" s="111"/>
      <c r="M1247" s="111"/>
      <c r="N1247" s="111"/>
      <c r="O1247" s="111"/>
      <c r="P1247" s="111"/>
      <c r="Q1247" s="111"/>
      <c r="R1247" s="111"/>
      <c r="S1247" s="111"/>
      <c r="T1247" s="111"/>
      <c r="U1247" s="111"/>
      <c r="V1247" s="111"/>
      <c r="W1247" s="111"/>
      <c r="X1247" s="111"/>
      <c r="Y1247" s="111"/>
      <c r="Z1247" s="111"/>
      <c r="AA1247" s="111"/>
      <c r="AB1247" s="111"/>
      <c r="AC1247" s="111"/>
      <c r="AD1247" s="111"/>
      <c r="AE1247" s="111"/>
      <c r="AF1247" s="111"/>
      <c r="AG1247" s="111"/>
      <c r="AH1247" s="111"/>
      <c r="AI1247" s="111"/>
    </row>
    <row r="1248" spans="1:35" ht="18.75" customHeight="1">
      <c r="A1248" s="168"/>
      <c r="B1248" s="168"/>
      <c r="C1248" s="168"/>
      <c r="D1248" s="111"/>
      <c r="E1248" s="111"/>
      <c r="F1248" s="111"/>
      <c r="G1248" s="111"/>
      <c r="H1248" s="111"/>
      <c r="I1248" s="111"/>
      <c r="J1248" s="111"/>
      <c r="K1248" s="111"/>
      <c r="L1248" s="111"/>
      <c r="M1248" s="111"/>
      <c r="N1248" s="111"/>
      <c r="O1248" s="111"/>
      <c r="P1248" s="111"/>
      <c r="Q1248" s="111"/>
      <c r="R1248" s="111"/>
      <c r="S1248" s="111"/>
      <c r="T1248" s="111"/>
      <c r="U1248" s="111"/>
      <c r="V1248" s="111"/>
      <c r="W1248" s="111"/>
      <c r="X1248" s="111"/>
      <c r="Y1248" s="111"/>
      <c r="Z1248" s="111"/>
      <c r="AA1248" s="111"/>
      <c r="AB1248" s="111"/>
      <c r="AC1248" s="111"/>
      <c r="AD1248" s="111"/>
      <c r="AE1248" s="111"/>
      <c r="AF1248" s="111"/>
      <c r="AG1248" s="111"/>
      <c r="AH1248" s="111"/>
      <c r="AI1248" s="111"/>
    </row>
    <row r="1249" spans="1:35" ht="18.75" customHeight="1">
      <c r="A1249" s="168"/>
      <c r="B1249" s="168"/>
      <c r="C1249" s="168"/>
      <c r="D1249" s="111"/>
      <c r="E1249" s="111"/>
      <c r="F1249" s="111"/>
      <c r="G1249" s="111"/>
      <c r="H1249" s="111"/>
      <c r="I1249" s="111"/>
      <c r="J1249" s="111"/>
      <c r="K1249" s="111"/>
      <c r="L1249" s="111"/>
      <c r="M1249" s="111"/>
      <c r="N1249" s="111"/>
      <c r="O1249" s="111"/>
      <c r="P1249" s="111"/>
      <c r="Q1249" s="111"/>
      <c r="R1249" s="111"/>
      <c r="S1249" s="111"/>
      <c r="T1249" s="111"/>
      <c r="U1249" s="111"/>
      <c r="V1249" s="111"/>
      <c r="W1249" s="111"/>
      <c r="X1249" s="111"/>
      <c r="Y1249" s="111"/>
      <c r="Z1249" s="111"/>
      <c r="AA1249" s="111"/>
      <c r="AB1249" s="111"/>
      <c r="AC1249" s="111"/>
      <c r="AD1249" s="111"/>
      <c r="AE1249" s="111"/>
      <c r="AF1249" s="111"/>
      <c r="AG1249" s="111"/>
      <c r="AH1249" s="111"/>
      <c r="AI1249" s="111"/>
    </row>
    <row r="1250" spans="1:35" ht="18.75" customHeight="1">
      <c r="A1250" s="168"/>
      <c r="B1250" s="168"/>
      <c r="C1250" s="168"/>
      <c r="D1250" s="111"/>
      <c r="E1250" s="111"/>
      <c r="F1250" s="111"/>
      <c r="G1250" s="111"/>
      <c r="H1250" s="111"/>
      <c r="I1250" s="111"/>
      <c r="J1250" s="111"/>
      <c r="K1250" s="111"/>
      <c r="L1250" s="111"/>
      <c r="M1250" s="111"/>
      <c r="N1250" s="111"/>
      <c r="O1250" s="111"/>
      <c r="P1250" s="111"/>
      <c r="Q1250" s="111"/>
      <c r="R1250" s="111"/>
      <c r="S1250" s="111"/>
      <c r="T1250" s="111"/>
      <c r="U1250" s="111"/>
      <c r="V1250" s="111"/>
      <c r="W1250" s="111"/>
      <c r="X1250" s="111"/>
      <c r="Y1250" s="111"/>
      <c r="Z1250" s="111"/>
      <c r="AA1250" s="111"/>
      <c r="AB1250" s="111"/>
      <c r="AC1250" s="111"/>
      <c r="AD1250" s="111"/>
      <c r="AE1250" s="111"/>
      <c r="AF1250" s="111"/>
      <c r="AG1250" s="111"/>
      <c r="AH1250" s="111"/>
      <c r="AI1250" s="111"/>
    </row>
    <row r="1251" spans="1:35" ht="18.75" customHeight="1">
      <c r="A1251" s="168"/>
      <c r="B1251" s="168"/>
      <c r="C1251" s="168"/>
      <c r="D1251" s="111"/>
      <c r="E1251" s="111"/>
      <c r="F1251" s="111"/>
      <c r="G1251" s="111"/>
      <c r="H1251" s="111"/>
      <c r="I1251" s="111"/>
      <c r="J1251" s="111"/>
      <c r="K1251" s="111"/>
      <c r="L1251" s="111"/>
      <c r="M1251" s="111"/>
      <c r="N1251" s="111"/>
      <c r="O1251" s="111"/>
      <c r="P1251" s="111"/>
      <c r="Q1251" s="111"/>
      <c r="R1251" s="111"/>
      <c r="S1251" s="111"/>
      <c r="T1251" s="111"/>
      <c r="U1251" s="111"/>
      <c r="V1251" s="111"/>
      <c r="W1251" s="111"/>
      <c r="X1251" s="111"/>
      <c r="Y1251" s="111"/>
      <c r="Z1251" s="111"/>
      <c r="AA1251" s="111"/>
      <c r="AB1251" s="111"/>
      <c r="AC1251" s="111"/>
      <c r="AD1251" s="111"/>
      <c r="AE1251" s="111"/>
      <c r="AF1251" s="111"/>
      <c r="AG1251" s="111"/>
      <c r="AH1251" s="111"/>
      <c r="AI1251" s="111"/>
    </row>
    <row r="1252" spans="1:35" ht="18.75" customHeight="1">
      <c r="A1252" s="168"/>
      <c r="B1252" s="168"/>
      <c r="C1252" s="168"/>
      <c r="D1252" s="111"/>
      <c r="E1252" s="111"/>
      <c r="F1252" s="111"/>
      <c r="G1252" s="111"/>
      <c r="H1252" s="111"/>
      <c r="I1252" s="111"/>
      <c r="J1252" s="111"/>
      <c r="K1252" s="111"/>
      <c r="L1252" s="111"/>
      <c r="M1252" s="111"/>
      <c r="N1252" s="111"/>
      <c r="O1252" s="111"/>
      <c r="P1252" s="111"/>
      <c r="Q1252" s="111"/>
      <c r="R1252" s="111"/>
      <c r="S1252" s="111"/>
      <c r="T1252" s="111"/>
      <c r="U1252" s="111"/>
      <c r="V1252" s="111"/>
      <c r="W1252" s="111"/>
      <c r="X1252" s="111"/>
      <c r="Y1252" s="111"/>
      <c r="Z1252" s="111"/>
      <c r="AA1252" s="111"/>
      <c r="AB1252" s="111"/>
      <c r="AC1252" s="111"/>
      <c r="AD1252" s="111"/>
      <c r="AE1252" s="111"/>
      <c r="AF1252" s="111"/>
      <c r="AG1252" s="111"/>
      <c r="AH1252" s="111"/>
      <c r="AI1252" s="111"/>
    </row>
    <row r="1253" spans="1:35" ht="18.75" customHeight="1">
      <c r="A1253" s="168"/>
      <c r="B1253" s="168"/>
      <c r="C1253" s="168"/>
      <c r="D1253" s="111"/>
      <c r="E1253" s="111"/>
      <c r="F1253" s="111"/>
      <c r="G1253" s="111"/>
      <c r="H1253" s="111"/>
      <c r="I1253" s="111"/>
      <c r="J1253" s="111"/>
      <c r="K1253" s="111"/>
      <c r="L1253" s="111"/>
      <c r="M1253" s="111"/>
      <c r="N1253" s="111"/>
      <c r="O1253" s="111"/>
      <c r="P1253" s="111"/>
      <c r="Q1253" s="111"/>
      <c r="R1253" s="111"/>
      <c r="S1253" s="111"/>
      <c r="T1253" s="111"/>
      <c r="U1253" s="111"/>
      <c r="V1253" s="111"/>
      <c r="W1253" s="111"/>
      <c r="X1253" s="111"/>
      <c r="Y1253" s="111"/>
      <c r="Z1253" s="111"/>
      <c r="AA1253" s="111"/>
      <c r="AB1253" s="111"/>
      <c r="AC1253" s="111"/>
      <c r="AD1253" s="111"/>
      <c r="AE1253" s="111"/>
      <c r="AF1253" s="111"/>
      <c r="AG1253" s="111"/>
      <c r="AH1253" s="111"/>
      <c r="AI1253" s="111"/>
    </row>
    <row r="1254" spans="1:35" ht="18.75" customHeight="1">
      <c r="A1254" s="168"/>
      <c r="B1254" s="168"/>
      <c r="C1254" s="168"/>
      <c r="D1254" s="111"/>
      <c r="E1254" s="111"/>
      <c r="F1254" s="111"/>
      <c r="G1254" s="111"/>
      <c r="H1254" s="111"/>
      <c r="I1254" s="111"/>
      <c r="J1254" s="111"/>
      <c r="K1254" s="111"/>
      <c r="L1254" s="111"/>
      <c r="M1254" s="111"/>
      <c r="N1254" s="111"/>
      <c r="O1254" s="111"/>
      <c r="P1254" s="111"/>
      <c r="Q1254" s="111"/>
      <c r="R1254" s="111"/>
      <c r="S1254" s="111"/>
      <c r="T1254" s="111"/>
      <c r="U1254" s="111"/>
      <c r="V1254" s="111"/>
      <c r="W1254" s="111"/>
      <c r="X1254" s="111"/>
      <c r="Y1254" s="111"/>
      <c r="Z1254" s="111"/>
      <c r="AA1254" s="111"/>
      <c r="AB1254" s="111"/>
      <c r="AC1254" s="111"/>
      <c r="AD1254" s="111"/>
      <c r="AE1254" s="111"/>
      <c r="AF1254" s="111"/>
      <c r="AG1254" s="111"/>
      <c r="AH1254" s="111"/>
      <c r="AI1254" s="111"/>
    </row>
    <row r="1255" spans="1:35" ht="18.75" customHeight="1">
      <c r="A1255" s="168"/>
      <c r="B1255" s="168"/>
      <c r="C1255" s="168"/>
      <c r="D1255" s="111"/>
      <c r="E1255" s="111"/>
      <c r="F1255" s="111"/>
      <c r="G1255" s="111"/>
      <c r="H1255" s="111"/>
      <c r="I1255" s="111"/>
      <c r="J1255" s="111"/>
      <c r="K1255" s="111"/>
      <c r="L1255" s="111"/>
      <c r="M1255" s="111"/>
      <c r="N1255" s="111"/>
      <c r="O1255" s="111"/>
      <c r="P1255" s="111"/>
      <c r="Q1255" s="111"/>
      <c r="R1255" s="111"/>
      <c r="S1255" s="111"/>
      <c r="T1255" s="111"/>
      <c r="U1255" s="111"/>
      <c r="V1255" s="111"/>
      <c r="W1255" s="111"/>
      <c r="X1255" s="111"/>
      <c r="Y1255" s="111"/>
      <c r="Z1255" s="111"/>
      <c r="AA1255" s="111"/>
      <c r="AB1255" s="111"/>
      <c r="AC1255" s="111"/>
      <c r="AD1255" s="111"/>
      <c r="AE1255" s="111"/>
      <c r="AF1255" s="111"/>
      <c r="AG1255" s="111"/>
      <c r="AH1255" s="111"/>
      <c r="AI1255" s="111"/>
    </row>
    <row r="1256" spans="1:35" ht="18.75" customHeight="1">
      <c r="A1256" s="168"/>
      <c r="B1256" s="168"/>
      <c r="C1256" s="168"/>
      <c r="D1256" s="111"/>
      <c r="E1256" s="111"/>
      <c r="F1256" s="111"/>
      <c r="G1256" s="111"/>
      <c r="H1256" s="111"/>
      <c r="I1256" s="111"/>
      <c r="J1256" s="111"/>
      <c r="K1256" s="111"/>
      <c r="L1256" s="111"/>
      <c r="M1256" s="111"/>
      <c r="N1256" s="111"/>
      <c r="O1256" s="111"/>
      <c r="P1256" s="111"/>
      <c r="Q1256" s="111"/>
      <c r="R1256" s="111"/>
      <c r="S1256" s="111"/>
      <c r="T1256" s="111"/>
      <c r="U1256" s="111"/>
      <c r="V1256" s="111"/>
      <c r="W1256" s="111"/>
      <c r="X1256" s="111"/>
      <c r="Y1256" s="111"/>
      <c r="Z1256" s="111"/>
      <c r="AA1256" s="111"/>
      <c r="AB1256" s="111"/>
      <c r="AC1256" s="111"/>
      <c r="AD1256" s="111"/>
      <c r="AE1256" s="111"/>
      <c r="AF1256" s="111"/>
      <c r="AG1256" s="111"/>
      <c r="AH1256" s="111"/>
      <c r="AI1256" s="111"/>
    </row>
    <row r="1257" spans="1:35" ht="18.75" customHeight="1">
      <c r="A1257" s="168"/>
      <c r="B1257" s="168"/>
      <c r="C1257" s="168"/>
      <c r="D1257" s="111"/>
      <c r="E1257" s="111"/>
      <c r="F1257" s="111"/>
      <c r="G1257" s="111"/>
      <c r="H1257" s="111"/>
      <c r="I1257" s="111"/>
      <c r="J1257" s="111"/>
      <c r="K1257" s="111"/>
      <c r="L1257" s="111"/>
      <c r="M1257" s="111"/>
      <c r="N1257" s="111"/>
      <c r="O1257" s="111"/>
      <c r="P1257" s="111"/>
      <c r="Q1257" s="111"/>
      <c r="R1257" s="111"/>
      <c r="S1257" s="111"/>
      <c r="T1257" s="111"/>
      <c r="U1257" s="111"/>
      <c r="V1257" s="111"/>
      <c r="W1257" s="111"/>
      <c r="X1257" s="111"/>
      <c r="Y1257" s="111"/>
      <c r="Z1257" s="111"/>
      <c r="AA1257" s="111"/>
      <c r="AB1257" s="111"/>
      <c r="AC1257" s="111"/>
      <c r="AD1257" s="111"/>
      <c r="AE1257" s="111"/>
      <c r="AF1257" s="111"/>
      <c r="AG1257" s="111"/>
      <c r="AH1257" s="111"/>
      <c r="AI1257" s="111"/>
    </row>
    <row r="1258" spans="1:35" ht="18.75" customHeight="1">
      <c r="A1258" s="168"/>
      <c r="B1258" s="168"/>
      <c r="C1258" s="168"/>
      <c r="D1258" s="111"/>
      <c r="E1258" s="111"/>
      <c r="F1258" s="111"/>
      <c r="G1258" s="111"/>
      <c r="H1258" s="111"/>
      <c r="I1258" s="111"/>
      <c r="J1258" s="111"/>
      <c r="K1258" s="111"/>
      <c r="L1258" s="111"/>
      <c r="M1258" s="111"/>
      <c r="N1258" s="111"/>
      <c r="O1258" s="111"/>
      <c r="P1258" s="111"/>
      <c r="Q1258" s="111"/>
      <c r="R1258" s="111"/>
      <c r="S1258" s="111"/>
      <c r="T1258" s="111"/>
      <c r="U1258" s="111"/>
      <c r="V1258" s="111"/>
      <c r="W1258" s="111"/>
      <c r="X1258" s="111"/>
      <c r="Y1258" s="111"/>
      <c r="Z1258" s="111"/>
      <c r="AA1258" s="111"/>
      <c r="AB1258" s="111"/>
      <c r="AC1258" s="111"/>
      <c r="AD1258" s="111"/>
      <c r="AE1258" s="111"/>
      <c r="AF1258" s="111"/>
      <c r="AG1258" s="111"/>
      <c r="AH1258" s="111"/>
      <c r="AI1258" s="111"/>
    </row>
    <row r="1259" spans="1:35" ht="18.75" customHeight="1">
      <c r="A1259" s="168"/>
      <c r="B1259" s="168"/>
      <c r="C1259" s="168"/>
      <c r="D1259" s="111"/>
      <c r="E1259" s="111"/>
      <c r="F1259" s="111"/>
      <c r="G1259" s="111"/>
      <c r="H1259" s="111"/>
      <c r="I1259" s="111"/>
      <c r="J1259" s="111"/>
      <c r="K1259" s="111"/>
      <c r="L1259" s="111"/>
      <c r="M1259" s="111"/>
      <c r="N1259" s="111"/>
      <c r="O1259" s="111"/>
      <c r="P1259" s="111"/>
      <c r="Q1259" s="111"/>
      <c r="R1259" s="111"/>
      <c r="S1259" s="111"/>
      <c r="T1259" s="111"/>
      <c r="U1259" s="111"/>
      <c r="V1259" s="111"/>
      <c r="W1259" s="111"/>
      <c r="X1259" s="111"/>
      <c r="Y1259" s="111"/>
      <c r="Z1259" s="111"/>
      <c r="AA1259" s="111"/>
      <c r="AB1259" s="111"/>
      <c r="AC1259" s="111"/>
      <c r="AD1259" s="111"/>
      <c r="AE1259" s="111"/>
      <c r="AF1259" s="111"/>
      <c r="AG1259" s="111"/>
      <c r="AH1259" s="111"/>
      <c r="AI1259" s="111"/>
    </row>
    <row r="1260" spans="1:35" ht="18.75" customHeight="1">
      <c r="A1260" s="168"/>
      <c r="B1260" s="168"/>
      <c r="C1260" s="168"/>
      <c r="D1260" s="111"/>
      <c r="E1260" s="111"/>
      <c r="F1260" s="111"/>
      <c r="G1260" s="111"/>
      <c r="H1260" s="111"/>
      <c r="I1260" s="111"/>
      <c r="J1260" s="111"/>
      <c r="K1260" s="111"/>
      <c r="L1260" s="111"/>
      <c r="M1260" s="111"/>
      <c r="N1260" s="111"/>
      <c r="O1260" s="111"/>
      <c r="P1260" s="111"/>
      <c r="Q1260" s="111"/>
      <c r="R1260" s="111"/>
      <c r="S1260" s="111"/>
      <c r="T1260" s="111"/>
      <c r="U1260" s="111"/>
      <c r="V1260" s="111"/>
      <c r="W1260" s="111"/>
      <c r="X1260" s="111"/>
      <c r="Y1260" s="111"/>
      <c r="Z1260" s="111"/>
      <c r="AA1260" s="111"/>
      <c r="AB1260" s="111"/>
      <c r="AC1260" s="111"/>
      <c r="AD1260" s="111"/>
      <c r="AE1260" s="111"/>
      <c r="AF1260" s="111"/>
      <c r="AG1260" s="111"/>
      <c r="AH1260" s="111"/>
      <c r="AI1260" s="111"/>
    </row>
    <row r="1261" spans="1:35" ht="18.75" customHeight="1">
      <c r="A1261" s="168"/>
      <c r="B1261" s="168"/>
      <c r="C1261" s="168"/>
      <c r="D1261" s="111"/>
      <c r="E1261" s="111"/>
      <c r="F1261" s="111"/>
      <c r="G1261" s="111"/>
      <c r="H1261" s="111"/>
      <c r="I1261" s="111"/>
      <c r="J1261" s="111"/>
      <c r="K1261" s="111"/>
      <c r="L1261" s="111"/>
      <c r="M1261" s="111"/>
      <c r="N1261" s="111"/>
      <c r="O1261" s="111"/>
      <c r="P1261" s="111"/>
      <c r="Q1261" s="111"/>
      <c r="R1261" s="111"/>
      <c r="S1261" s="111"/>
      <c r="T1261" s="111"/>
      <c r="U1261" s="111"/>
      <c r="V1261" s="111"/>
      <c r="W1261" s="111"/>
      <c r="X1261" s="111"/>
      <c r="Y1261" s="111"/>
      <c r="Z1261" s="111"/>
      <c r="AA1261" s="111"/>
      <c r="AB1261" s="111"/>
      <c r="AC1261" s="111"/>
      <c r="AD1261" s="111"/>
      <c r="AE1261" s="111"/>
      <c r="AF1261" s="111"/>
      <c r="AG1261" s="111"/>
      <c r="AH1261" s="111"/>
      <c r="AI1261" s="111"/>
    </row>
    <row r="1262" spans="1:35" ht="18.75" customHeight="1">
      <c r="A1262" s="168"/>
      <c r="B1262" s="168"/>
      <c r="C1262" s="168"/>
      <c r="D1262" s="111"/>
      <c r="E1262" s="111"/>
      <c r="F1262" s="111"/>
      <c r="G1262" s="111"/>
      <c r="H1262" s="111"/>
      <c r="I1262" s="111"/>
      <c r="J1262" s="111"/>
      <c r="K1262" s="111"/>
      <c r="L1262" s="111"/>
      <c r="M1262" s="111"/>
      <c r="N1262" s="111"/>
      <c r="O1262" s="111"/>
      <c r="P1262" s="111"/>
      <c r="Q1262" s="111"/>
      <c r="R1262" s="111"/>
      <c r="S1262" s="111"/>
      <c r="T1262" s="111"/>
      <c r="U1262" s="111"/>
      <c r="V1262" s="111"/>
      <c r="W1262" s="111"/>
      <c r="X1262" s="111"/>
      <c r="Y1262" s="111"/>
      <c r="Z1262" s="111"/>
      <c r="AA1262" s="111"/>
      <c r="AB1262" s="111"/>
      <c r="AC1262" s="111"/>
      <c r="AD1262" s="111"/>
      <c r="AE1262" s="111"/>
      <c r="AF1262" s="111"/>
      <c r="AG1262" s="111"/>
      <c r="AH1262" s="111"/>
      <c r="AI1262" s="111"/>
    </row>
    <row r="1263" spans="1:35" ht="18.75" customHeight="1">
      <c r="A1263" s="168"/>
      <c r="B1263" s="168"/>
      <c r="C1263" s="168"/>
      <c r="D1263" s="111"/>
      <c r="E1263" s="111"/>
      <c r="F1263" s="111"/>
      <c r="G1263" s="111"/>
      <c r="H1263" s="111"/>
      <c r="I1263" s="111"/>
      <c r="J1263" s="111"/>
      <c r="K1263" s="111"/>
      <c r="L1263" s="111"/>
      <c r="M1263" s="111"/>
      <c r="N1263" s="111"/>
      <c r="O1263" s="111"/>
      <c r="P1263" s="111"/>
      <c r="Q1263" s="111"/>
      <c r="R1263" s="111"/>
      <c r="S1263" s="111"/>
      <c r="T1263" s="111"/>
      <c r="U1263" s="111"/>
      <c r="V1263" s="111"/>
      <c r="W1263" s="111"/>
      <c r="X1263" s="111"/>
      <c r="Y1263" s="111"/>
      <c r="Z1263" s="111"/>
      <c r="AA1263" s="111"/>
      <c r="AB1263" s="111"/>
      <c r="AC1263" s="111"/>
      <c r="AD1263" s="111"/>
      <c r="AE1263" s="111"/>
      <c r="AF1263" s="111"/>
      <c r="AG1263" s="111"/>
      <c r="AH1263" s="111"/>
      <c r="AI1263" s="111"/>
    </row>
    <row r="1264" spans="1:35" ht="18.75" customHeight="1">
      <c r="A1264" s="168"/>
      <c r="B1264" s="168"/>
      <c r="C1264" s="168"/>
      <c r="D1264" s="111"/>
      <c r="E1264" s="111"/>
      <c r="F1264" s="111"/>
      <c r="G1264" s="111"/>
      <c r="H1264" s="111"/>
      <c r="I1264" s="111"/>
      <c r="J1264" s="111"/>
      <c r="K1264" s="111"/>
      <c r="L1264" s="111"/>
      <c r="M1264" s="111"/>
      <c r="N1264" s="111"/>
      <c r="O1264" s="111"/>
      <c r="P1264" s="111"/>
      <c r="Q1264" s="111"/>
      <c r="R1264" s="111"/>
      <c r="S1264" s="111"/>
      <c r="T1264" s="111"/>
      <c r="U1264" s="111"/>
      <c r="V1264" s="111"/>
      <c r="W1264" s="111"/>
      <c r="X1264" s="111"/>
      <c r="Y1264" s="111"/>
      <c r="Z1264" s="111"/>
      <c r="AA1264" s="111"/>
      <c r="AB1264" s="111"/>
      <c r="AC1264" s="111"/>
      <c r="AD1264" s="111"/>
      <c r="AE1264" s="111"/>
      <c r="AF1264" s="111"/>
      <c r="AG1264" s="111"/>
      <c r="AH1264" s="111"/>
      <c r="AI1264" s="111"/>
    </row>
    <row r="1265" spans="1:35" ht="18.75" customHeight="1">
      <c r="A1265" s="168"/>
      <c r="B1265" s="168"/>
      <c r="C1265" s="168"/>
      <c r="D1265" s="111"/>
      <c r="E1265" s="111"/>
      <c r="F1265" s="111"/>
      <c r="G1265" s="111"/>
      <c r="H1265" s="111"/>
      <c r="I1265" s="111"/>
      <c r="J1265" s="111"/>
      <c r="K1265" s="111"/>
      <c r="L1265" s="111"/>
      <c r="M1265" s="111"/>
      <c r="N1265" s="111"/>
      <c r="O1265" s="111"/>
      <c r="P1265" s="111"/>
      <c r="Q1265" s="111"/>
      <c r="R1265" s="111"/>
      <c r="S1265" s="111"/>
      <c r="T1265" s="111"/>
      <c r="U1265" s="111"/>
      <c r="V1265" s="111"/>
      <c r="W1265" s="111"/>
      <c r="X1265" s="111"/>
      <c r="Y1265" s="111"/>
      <c r="Z1265" s="111"/>
      <c r="AA1265" s="111"/>
      <c r="AB1265" s="111"/>
      <c r="AC1265" s="111"/>
      <c r="AD1265" s="111"/>
      <c r="AE1265" s="111"/>
      <c r="AF1265" s="111"/>
      <c r="AG1265" s="111"/>
      <c r="AH1265" s="111"/>
      <c r="AI1265" s="111"/>
    </row>
    <row r="1266" spans="1:35" ht="18.75" customHeight="1">
      <c r="A1266" s="168"/>
      <c r="B1266" s="168"/>
      <c r="C1266" s="168"/>
      <c r="D1266" s="111"/>
      <c r="E1266" s="111"/>
      <c r="F1266" s="111"/>
      <c r="G1266" s="111"/>
      <c r="H1266" s="111"/>
      <c r="I1266" s="111"/>
      <c r="J1266" s="111"/>
      <c r="K1266" s="111"/>
      <c r="L1266" s="111"/>
      <c r="M1266" s="111"/>
      <c r="N1266" s="111"/>
      <c r="O1266" s="111"/>
      <c r="P1266" s="111"/>
      <c r="Q1266" s="111"/>
      <c r="R1266" s="111"/>
      <c r="S1266" s="111"/>
      <c r="T1266" s="111"/>
      <c r="U1266" s="111"/>
      <c r="V1266" s="111"/>
      <c r="W1266" s="111"/>
      <c r="X1266" s="111"/>
      <c r="Y1266" s="111"/>
      <c r="Z1266" s="111"/>
      <c r="AA1266" s="111"/>
      <c r="AB1266" s="111"/>
      <c r="AC1266" s="111"/>
      <c r="AD1266" s="111"/>
      <c r="AE1266" s="111"/>
      <c r="AF1266" s="111"/>
      <c r="AG1266" s="111"/>
      <c r="AH1266" s="111"/>
      <c r="AI1266" s="111"/>
    </row>
    <row r="1267" spans="1:35" ht="18.75" customHeight="1">
      <c r="A1267" s="168"/>
      <c r="B1267" s="168"/>
      <c r="C1267" s="168"/>
      <c r="D1267" s="111"/>
      <c r="E1267" s="111"/>
      <c r="F1267" s="111"/>
      <c r="G1267" s="111"/>
      <c r="H1267" s="111"/>
      <c r="I1267" s="111"/>
      <c r="J1267" s="111"/>
      <c r="K1267" s="111"/>
      <c r="L1267" s="111"/>
      <c r="M1267" s="111"/>
      <c r="N1267" s="111"/>
      <c r="O1267" s="111"/>
      <c r="P1267" s="111"/>
      <c r="Q1267" s="111"/>
      <c r="R1267" s="111"/>
      <c r="S1267" s="111"/>
      <c r="T1267" s="111"/>
      <c r="U1267" s="111"/>
      <c r="V1267" s="111"/>
      <c r="W1267" s="111"/>
      <c r="X1267" s="111"/>
      <c r="Y1267" s="111"/>
      <c r="Z1267" s="111"/>
      <c r="AA1267" s="111"/>
      <c r="AB1267" s="111"/>
      <c r="AC1267" s="111"/>
      <c r="AD1267" s="111"/>
      <c r="AE1267" s="111"/>
      <c r="AF1267" s="111"/>
      <c r="AG1267" s="111"/>
      <c r="AH1267" s="111"/>
      <c r="AI1267" s="111"/>
    </row>
    <row r="1268" spans="1:35" ht="18.75" customHeight="1">
      <c r="A1268" s="168"/>
      <c r="B1268" s="168"/>
      <c r="C1268" s="168"/>
      <c r="D1268" s="111"/>
      <c r="E1268" s="111"/>
      <c r="F1268" s="111"/>
      <c r="G1268" s="111"/>
      <c r="H1268" s="111"/>
      <c r="I1268" s="111"/>
      <c r="J1268" s="111"/>
      <c r="K1268" s="111"/>
      <c r="L1268" s="111"/>
      <c r="M1268" s="111"/>
      <c r="N1268" s="111"/>
      <c r="O1268" s="111"/>
      <c r="P1268" s="111"/>
      <c r="Q1268" s="111"/>
      <c r="R1268" s="111"/>
      <c r="S1268" s="111"/>
      <c r="T1268" s="111"/>
      <c r="U1268" s="111"/>
      <c r="V1268" s="111"/>
      <c r="W1268" s="111"/>
      <c r="X1268" s="111"/>
      <c r="Y1268" s="111"/>
      <c r="Z1268" s="111"/>
      <c r="AA1268" s="111"/>
      <c r="AB1268" s="111"/>
      <c r="AC1268" s="111"/>
      <c r="AD1268" s="111"/>
      <c r="AE1268" s="111"/>
      <c r="AF1268" s="111"/>
      <c r="AG1268" s="111"/>
      <c r="AH1268" s="111"/>
      <c r="AI1268" s="111"/>
    </row>
    <row r="1269" spans="1:35" ht="18.75" customHeight="1">
      <c r="A1269" s="168"/>
      <c r="B1269" s="168"/>
      <c r="C1269" s="168"/>
      <c r="D1269" s="111"/>
      <c r="E1269" s="111"/>
      <c r="F1269" s="111"/>
      <c r="G1269" s="111"/>
      <c r="H1269" s="111"/>
      <c r="I1269" s="111"/>
      <c r="J1269" s="111"/>
      <c r="K1269" s="111"/>
      <c r="L1269" s="111"/>
      <c r="M1269" s="111"/>
      <c r="N1269" s="111"/>
      <c r="O1269" s="111"/>
      <c r="P1269" s="111"/>
      <c r="Q1269" s="111"/>
      <c r="R1269" s="111"/>
      <c r="S1269" s="111"/>
      <c r="T1269" s="111"/>
      <c r="U1269" s="111"/>
      <c r="V1269" s="111"/>
      <c r="W1269" s="111"/>
      <c r="X1269" s="111"/>
      <c r="Y1269" s="111"/>
      <c r="Z1269" s="111"/>
      <c r="AA1269" s="111"/>
      <c r="AB1269" s="111"/>
      <c r="AC1269" s="111"/>
      <c r="AD1269" s="111"/>
      <c r="AE1269" s="111"/>
      <c r="AF1269" s="111"/>
      <c r="AG1269" s="111"/>
      <c r="AH1269" s="111"/>
      <c r="AI1269" s="111"/>
    </row>
    <row r="1270" spans="1:35" ht="18.75" customHeight="1">
      <c r="A1270" s="168"/>
      <c r="B1270" s="168"/>
      <c r="C1270" s="168"/>
      <c r="D1270" s="111"/>
      <c r="E1270" s="111"/>
      <c r="F1270" s="111"/>
      <c r="G1270" s="111"/>
      <c r="H1270" s="111"/>
      <c r="I1270" s="111"/>
      <c r="J1270" s="111"/>
      <c r="K1270" s="111"/>
      <c r="L1270" s="111"/>
      <c r="M1270" s="111"/>
      <c r="N1270" s="111"/>
      <c r="O1270" s="111"/>
      <c r="P1270" s="111"/>
      <c r="Q1270" s="111"/>
      <c r="R1270" s="111"/>
      <c r="S1270" s="111"/>
      <c r="T1270" s="111"/>
      <c r="U1270" s="111"/>
      <c r="V1270" s="111"/>
      <c r="W1270" s="111"/>
      <c r="X1270" s="111"/>
      <c r="Y1270" s="111"/>
      <c r="Z1270" s="111"/>
      <c r="AA1270" s="111"/>
      <c r="AB1270" s="111"/>
      <c r="AC1270" s="111"/>
      <c r="AD1270" s="111"/>
      <c r="AE1270" s="111"/>
      <c r="AF1270" s="111"/>
      <c r="AG1270" s="111"/>
      <c r="AH1270" s="111"/>
      <c r="AI1270" s="111"/>
    </row>
    <row r="1271" spans="1:35" ht="18.75" customHeight="1">
      <c r="A1271" s="168"/>
      <c r="B1271" s="168"/>
      <c r="C1271" s="168"/>
      <c r="D1271" s="111"/>
      <c r="E1271" s="111"/>
      <c r="F1271" s="111"/>
      <c r="G1271" s="111"/>
      <c r="H1271" s="111"/>
      <c r="I1271" s="111"/>
      <c r="J1271" s="111"/>
      <c r="K1271" s="111"/>
      <c r="L1271" s="111"/>
      <c r="M1271" s="111"/>
      <c r="N1271" s="111"/>
      <c r="O1271" s="111"/>
      <c r="P1271" s="111"/>
      <c r="Q1271" s="111"/>
      <c r="R1271" s="111"/>
      <c r="S1271" s="111"/>
      <c r="T1271" s="111"/>
      <c r="U1271" s="111"/>
      <c r="V1271" s="111"/>
      <c r="W1271" s="111"/>
      <c r="X1271" s="111"/>
      <c r="Y1271" s="111"/>
      <c r="Z1271" s="111"/>
      <c r="AA1271" s="111"/>
      <c r="AB1271" s="111"/>
      <c r="AC1271" s="111"/>
      <c r="AD1271" s="111"/>
      <c r="AE1271" s="111"/>
      <c r="AF1271" s="111"/>
      <c r="AG1271" s="111"/>
      <c r="AH1271" s="111"/>
      <c r="AI1271" s="111"/>
    </row>
    <row r="1272" spans="1:35" ht="18.75" customHeight="1">
      <c r="A1272" s="168"/>
      <c r="B1272" s="168"/>
      <c r="C1272" s="168"/>
      <c r="D1272" s="111"/>
      <c r="E1272" s="111"/>
      <c r="F1272" s="111"/>
      <c r="G1272" s="111"/>
      <c r="H1272" s="111"/>
      <c r="I1272" s="111"/>
      <c r="J1272" s="111"/>
      <c r="K1272" s="111"/>
      <c r="L1272" s="111"/>
      <c r="M1272" s="111"/>
      <c r="N1272" s="111"/>
      <c r="O1272" s="111"/>
      <c r="P1272" s="111"/>
      <c r="Q1272" s="111"/>
      <c r="R1272" s="111"/>
      <c r="S1272" s="111"/>
      <c r="T1272" s="111"/>
      <c r="U1272" s="111"/>
      <c r="V1272" s="111"/>
      <c r="W1272" s="111"/>
      <c r="X1272" s="111"/>
      <c r="Y1272" s="111"/>
      <c r="Z1272" s="111"/>
      <c r="AA1272" s="111"/>
      <c r="AB1272" s="111"/>
      <c r="AC1272" s="111"/>
      <c r="AD1272" s="111"/>
      <c r="AE1272" s="111"/>
      <c r="AF1272" s="111"/>
      <c r="AG1272" s="111"/>
      <c r="AH1272" s="111"/>
      <c r="AI1272" s="111"/>
    </row>
    <row r="1273" spans="1:35" ht="18.75" customHeight="1">
      <c r="A1273" s="168"/>
      <c r="B1273" s="168"/>
      <c r="C1273" s="168"/>
      <c r="D1273" s="111"/>
      <c r="E1273" s="111"/>
      <c r="F1273" s="111"/>
      <c r="G1273" s="111"/>
      <c r="H1273" s="111"/>
      <c r="I1273" s="111"/>
      <c r="J1273" s="111"/>
      <c r="K1273" s="111"/>
      <c r="L1273" s="111"/>
      <c r="M1273" s="111"/>
      <c r="N1273" s="111"/>
      <c r="O1273" s="111"/>
      <c r="P1273" s="111"/>
      <c r="Q1273" s="111"/>
      <c r="R1273" s="111"/>
      <c r="S1273" s="111"/>
      <c r="T1273" s="111"/>
      <c r="U1273" s="111"/>
      <c r="V1273" s="111"/>
      <c r="W1273" s="111"/>
      <c r="X1273" s="111"/>
      <c r="Y1273" s="111"/>
      <c r="Z1273" s="111"/>
      <c r="AA1273" s="111"/>
      <c r="AB1273" s="111"/>
      <c r="AC1273" s="111"/>
      <c r="AD1273" s="111"/>
      <c r="AE1273" s="111"/>
      <c r="AF1273" s="111"/>
      <c r="AG1273" s="111"/>
      <c r="AH1273" s="111"/>
      <c r="AI1273" s="111"/>
    </row>
    <row r="1274" spans="1:35" ht="18.75" customHeight="1">
      <c r="A1274" s="168"/>
      <c r="B1274" s="168"/>
      <c r="C1274" s="168"/>
      <c r="D1274" s="111"/>
      <c r="E1274" s="111"/>
      <c r="F1274" s="111"/>
      <c r="G1274" s="111"/>
      <c r="H1274" s="111"/>
      <c r="I1274" s="111"/>
      <c r="J1274" s="111"/>
      <c r="K1274" s="111"/>
      <c r="L1274" s="111"/>
      <c r="M1274" s="111"/>
      <c r="N1274" s="111"/>
      <c r="O1274" s="111"/>
      <c r="P1274" s="111"/>
      <c r="Q1274" s="111"/>
      <c r="R1274" s="111"/>
      <c r="S1274" s="111"/>
      <c r="T1274" s="111"/>
      <c r="U1274" s="111"/>
      <c r="V1274" s="111"/>
      <c r="W1274" s="111"/>
      <c r="X1274" s="111"/>
      <c r="Y1274" s="111"/>
      <c r="Z1274" s="111"/>
      <c r="AA1274" s="111"/>
      <c r="AB1274" s="111"/>
      <c r="AC1274" s="111"/>
      <c r="AD1274" s="111"/>
      <c r="AE1274" s="111"/>
      <c r="AF1274" s="111"/>
      <c r="AG1274" s="111"/>
      <c r="AH1274" s="111"/>
      <c r="AI1274" s="111"/>
    </row>
    <row r="1275" spans="1:35" ht="18.75" customHeight="1">
      <c r="A1275" s="168"/>
      <c r="B1275" s="168"/>
      <c r="C1275" s="168"/>
      <c r="D1275" s="111"/>
      <c r="E1275" s="111"/>
      <c r="F1275" s="111"/>
      <c r="G1275" s="111"/>
      <c r="H1275" s="111"/>
      <c r="I1275" s="111"/>
      <c r="J1275" s="111"/>
      <c r="K1275" s="111"/>
      <c r="L1275" s="111"/>
      <c r="M1275" s="111"/>
      <c r="N1275" s="111"/>
      <c r="O1275" s="111"/>
      <c r="P1275" s="111"/>
      <c r="Q1275" s="111"/>
      <c r="R1275" s="111"/>
      <c r="S1275" s="111"/>
      <c r="T1275" s="111"/>
      <c r="U1275" s="111"/>
      <c r="V1275" s="111"/>
      <c r="W1275" s="111"/>
      <c r="X1275" s="111"/>
      <c r="Y1275" s="111"/>
      <c r="Z1275" s="111"/>
      <c r="AA1275" s="111"/>
      <c r="AB1275" s="111"/>
      <c r="AC1275" s="111"/>
      <c r="AD1275" s="111"/>
      <c r="AE1275" s="111"/>
      <c r="AF1275" s="111"/>
      <c r="AG1275" s="111"/>
      <c r="AH1275" s="111"/>
      <c r="AI1275" s="111"/>
    </row>
    <row r="1276" spans="1:35" ht="18.75" customHeight="1">
      <c r="A1276" s="168"/>
      <c r="B1276" s="168"/>
      <c r="C1276" s="168"/>
      <c r="D1276" s="111"/>
      <c r="E1276" s="111"/>
      <c r="F1276" s="111"/>
      <c r="G1276" s="111"/>
      <c r="H1276" s="111"/>
      <c r="I1276" s="111"/>
      <c r="J1276" s="111"/>
      <c r="K1276" s="111"/>
      <c r="L1276" s="111"/>
      <c r="M1276" s="111"/>
      <c r="N1276" s="111"/>
      <c r="O1276" s="111"/>
      <c r="P1276" s="111"/>
      <c r="Q1276" s="111"/>
      <c r="R1276" s="111"/>
      <c r="S1276" s="111"/>
      <c r="T1276" s="111"/>
      <c r="U1276" s="111"/>
      <c r="V1276" s="111"/>
      <c r="W1276" s="111"/>
      <c r="X1276" s="111"/>
      <c r="Y1276" s="111"/>
      <c r="Z1276" s="111"/>
      <c r="AA1276" s="111"/>
      <c r="AB1276" s="111"/>
      <c r="AC1276" s="111"/>
      <c r="AD1276" s="111"/>
      <c r="AE1276" s="111"/>
      <c r="AF1276" s="111"/>
      <c r="AG1276" s="111"/>
      <c r="AH1276" s="111"/>
      <c r="AI1276" s="111"/>
    </row>
    <row r="1277" spans="1:35" ht="18.75" customHeight="1">
      <c r="A1277" s="168"/>
      <c r="B1277" s="168"/>
      <c r="C1277" s="168"/>
      <c r="D1277" s="111"/>
      <c r="E1277" s="111"/>
      <c r="F1277" s="111"/>
      <c r="G1277" s="111"/>
      <c r="H1277" s="111"/>
      <c r="I1277" s="111"/>
      <c r="J1277" s="111"/>
      <c r="K1277" s="111"/>
      <c r="L1277" s="111"/>
      <c r="M1277" s="111"/>
      <c r="N1277" s="111"/>
      <c r="O1277" s="111"/>
      <c r="P1277" s="111"/>
      <c r="Q1277" s="111"/>
      <c r="R1277" s="111"/>
      <c r="S1277" s="111"/>
      <c r="T1277" s="111"/>
      <c r="U1277" s="111"/>
      <c r="V1277" s="111"/>
      <c r="W1277" s="111"/>
      <c r="X1277" s="111"/>
      <c r="Y1277" s="111"/>
      <c r="Z1277" s="111"/>
      <c r="AA1277" s="111"/>
      <c r="AB1277" s="111"/>
      <c r="AC1277" s="111"/>
      <c r="AD1277" s="111"/>
      <c r="AE1277" s="111"/>
      <c r="AF1277" s="111"/>
      <c r="AG1277" s="111"/>
      <c r="AH1277" s="111"/>
      <c r="AI1277" s="111"/>
    </row>
    <row r="1278" spans="1:35" ht="18.75" customHeight="1">
      <c r="A1278" s="168"/>
      <c r="B1278" s="168"/>
      <c r="C1278" s="168"/>
      <c r="D1278" s="111"/>
      <c r="E1278" s="111"/>
      <c r="F1278" s="111"/>
      <c r="G1278" s="111"/>
      <c r="H1278" s="111"/>
      <c r="I1278" s="111"/>
      <c r="J1278" s="111"/>
      <c r="K1278" s="111"/>
      <c r="L1278" s="111"/>
      <c r="M1278" s="111"/>
      <c r="N1278" s="111"/>
      <c r="O1278" s="111"/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/>
      <c r="AB1278" s="111"/>
      <c r="AC1278" s="111"/>
      <c r="AD1278" s="111"/>
      <c r="AE1278" s="111"/>
      <c r="AF1278" s="111"/>
      <c r="AG1278" s="111"/>
      <c r="AH1278" s="111"/>
      <c r="AI1278" s="111"/>
    </row>
    <row r="1279" spans="1:35" ht="18.75" customHeight="1">
      <c r="A1279" s="168"/>
      <c r="B1279" s="168"/>
      <c r="C1279" s="168"/>
      <c r="D1279" s="111"/>
      <c r="E1279" s="111"/>
      <c r="F1279" s="111"/>
      <c r="G1279" s="111"/>
      <c r="H1279" s="111"/>
      <c r="I1279" s="111"/>
      <c r="J1279" s="111"/>
      <c r="K1279" s="111"/>
      <c r="L1279" s="111"/>
      <c r="M1279" s="111"/>
      <c r="N1279" s="111"/>
      <c r="O1279" s="111"/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/>
      <c r="AB1279" s="111"/>
      <c r="AC1279" s="111"/>
      <c r="AD1279" s="111"/>
      <c r="AE1279" s="111"/>
      <c r="AF1279" s="111"/>
      <c r="AG1279" s="111"/>
      <c r="AH1279" s="111"/>
      <c r="AI1279" s="111"/>
    </row>
    <row r="1280" spans="1:35" ht="18.75" customHeight="1">
      <c r="A1280" s="168"/>
      <c r="B1280" s="168"/>
      <c r="C1280" s="168"/>
      <c r="D1280" s="111"/>
      <c r="E1280" s="111"/>
      <c r="F1280" s="111"/>
      <c r="G1280" s="111"/>
      <c r="H1280" s="111"/>
      <c r="I1280" s="111"/>
      <c r="J1280" s="111"/>
      <c r="K1280" s="111"/>
      <c r="L1280" s="111"/>
      <c r="M1280" s="111"/>
      <c r="N1280" s="111"/>
      <c r="O1280" s="111"/>
      <c r="P1280" s="111"/>
      <c r="Q1280" s="111"/>
      <c r="R1280" s="111"/>
      <c r="S1280" s="111"/>
      <c r="T1280" s="111"/>
      <c r="U1280" s="111"/>
      <c r="V1280" s="111"/>
      <c r="W1280" s="111"/>
      <c r="X1280" s="111"/>
      <c r="Y1280" s="111"/>
      <c r="Z1280" s="111"/>
      <c r="AA1280" s="111"/>
      <c r="AB1280" s="111"/>
      <c r="AC1280" s="111"/>
      <c r="AD1280" s="111"/>
      <c r="AE1280" s="111"/>
      <c r="AF1280" s="111"/>
      <c r="AG1280" s="111"/>
      <c r="AH1280" s="111"/>
      <c r="AI1280" s="111"/>
    </row>
    <row r="1281" spans="1:35" ht="18.75" customHeight="1">
      <c r="A1281" s="168"/>
      <c r="B1281" s="168"/>
      <c r="C1281" s="168"/>
      <c r="D1281" s="111"/>
      <c r="E1281" s="111"/>
      <c r="F1281" s="111"/>
      <c r="G1281" s="111"/>
      <c r="H1281" s="111"/>
      <c r="I1281" s="111"/>
      <c r="J1281" s="111"/>
      <c r="K1281" s="111"/>
      <c r="L1281" s="111"/>
      <c r="M1281" s="111"/>
      <c r="N1281" s="111"/>
      <c r="O1281" s="111"/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/>
      <c r="AB1281" s="111"/>
      <c r="AC1281" s="111"/>
      <c r="AD1281" s="111"/>
      <c r="AE1281" s="111"/>
      <c r="AF1281" s="111"/>
      <c r="AG1281" s="111"/>
      <c r="AH1281" s="111"/>
      <c r="AI1281" s="111"/>
    </row>
    <row r="1282" spans="1:35" ht="18.75" customHeight="1">
      <c r="A1282" s="168"/>
      <c r="B1282" s="168"/>
      <c r="C1282" s="168"/>
      <c r="D1282" s="111"/>
      <c r="E1282" s="111"/>
      <c r="F1282" s="111"/>
      <c r="G1282" s="111"/>
      <c r="H1282" s="111"/>
      <c r="I1282" s="111"/>
      <c r="J1282" s="111"/>
      <c r="K1282" s="111"/>
      <c r="L1282" s="111"/>
      <c r="M1282" s="111"/>
      <c r="N1282" s="111"/>
      <c r="O1282" s="111"/>
      <c r="P1282" s="111"/>
      <c r="Q1282" s="111"/>
      <c r="R1282" s="111"/>
      <c r="S1282" s="111"/>
      <c r="T1282" s="111"/>
      <c r="U1282" s="111"/>
      <c r="V1282" s="111"/>
      <c r="W1282" s="111"/>
      <c r="X1282" s="111"/>
      <c r="Y1282" s="111"/>
      <c r="Z1282" s="111"/>
      <c r="AA1282" s="111"/>
      <c r="AB1282" s="111"/>
      <c r="AC1282" s="111"/>
      <c r="AD1282" s="111"/>
      <c r="AE1282" s="111"/>
      <c r="AF1282" s="111"/>
      <c r="AG1282" s="111"/>
      <c r="AH1282" s="111"/>
      <c r="AI1282" s="111"/>
    </row>
    <row r="1283" spans="1:35" ht="18.75" customHeight="1">
      <c r="A1283" s="168"/>
      <c r="B1283" s="168"/>
      <c r="C1283" s="168"/>
      <c r="D1283" s="111"/>
      <c r="E1283" s="111"/>
      <c r="F1283" s="111"/>
      <c r="G1283" s="111"/>
      <c r="H1283" s="111"/>
      <c r="I1283" s="111"/>
      <c r="J1283" s="111"/>
      <c r="K1283" s="111"/>
      <c r="L1283" s="111"/>
      <c r="M1283" s="111"/>
      <c r="N1283" s="111"/>
      <c r="O1283" s="111"/>
      <c r="P1283" s="111"/>
      <c r="Q1283" s="111"/>
      <c r="R1283" s="111"/>
      <c r="S1283" s="111"/>
      <c r="T1283" s="111"/>
      <c r="U1283" s="111"/>
      <c r="V1283" s="111"/>
      <c r="W1283" s="111"/>
      <c r="X1283" s="111"/>
      <c r="Y1283" s="111"/>
      <c r="Z1283" s="111"/>
      <c r="AA1283" s="111"/>
      <c r="AB1283" s="111"/>
      <c r="AC1283" s="111"/>
      <c r="AD1283" s="111"/>
      <c r="AE1283" s="111"/>
      <c r="AF1283" s="111"/>
      <c r="AG1283" s="111"/>
      <c r="AH1283" s="111"/>
      <c r="AI1283" s="111"/>
    </row>
    <row r="1284" spans="1:35" ht="18.75" customHeight="1">
      <c r="A1284" s="168"/>
      <c r="B1284" s="168"/>
      <c r="C1284" s="168"/>
      <c r="D1284" s="111"/>
      <c r="E1284" s="111"/>
      <c r="F1284" s="111"/>
      <c r="G1284" s="111"/>
      <c r="H1284" s="111"/>
      <c r="I1284" s="111"/>
      <c r="J1284" s="111"/>
      <c r="K1284" s="111"/>
      <c r="L1284" s="111"/>
      <c r="M1284" s="111"/>
      <c r="N1284" s="111"/>
      <c r="O1284" s="111"/>
      <c r="P1284" s="111"/>
      <c r="Q1284" s="111"/>
      <c r="R1284" s="111"/>
      <c r="S1284" s="111"/>
      <c r="T1284" s="111"/>
      <c r="U1284" s="111"/>
      <c r="V1284" s="111"/>
      <c r="W1284" s="111"/>
      <c r="X1284" s="111"/>
      <c r="Y1284" s="111"/>
      <c r="Z1284" s="111"/>
      <c r="AA1284" s="111"/>
      <c r="AB1284" s="111"/>
      <c r="AC1284" s="111"/>
      <c r="AD1284" s="111"/>
      <c r="AE1284" s="111"/>
      <c r="AF1284" s="111"/>
      <c r="AG1284" s="111"/>
      <c r="AH1284" s="111"/>
      <c r="AI1284" s="111"/>
    </row>
    <row r="1285" spans="1:35" ht="18.75" customHeight="1">
      <c r="A1285" s="168"/>
      <c r="B1285" s="168"/>
      <c r="C1285" s="168"/>
      <c r="D1285" s="111"/>
      <c r="E1285" s="111"/>
      <c r="F1285" s="111"/>
      <c r="G1285" s="111"/>
      <c r="H1285" s="111"/>
      <c r="I1285" s="111"/>
      <c r="J1285" s="111"/>
      <c r="K1285" s="111"/>
      <c r="L1285" s="111"/>
      <c r="M1285" s="111"/>
      <c r="N1285" s="111"/>
      <c r="O1285" s="111"/>
      <c r="P1285" s="111"/>
      <c r="Q1285" s="111"/>
      <c r="R1285" s="111"/>
      <c r="S1285" s="111"/>
      <c r="T1285" s="111"/>
      <c r="U1285" s="111"/>
      <c r="V1285" s="111"/>
      <c r="W1285" s="111"/>
      <c r="X1285" s="111"/>
      <c r="Y1285" s="111"/>
      <c r="Z1285" s="111"/>
      <c r="AA1285" s="111"/>
      <c r="AB1285" s="111"/>
      <c r="AC1285" s="111"/>
      <c r="AD1285" s="111"/>
      <c r="AE1285" s="111"/>
      <c r="AF1285" s="111"/>
      <c r="AG1285" s="111"/>
      <c r="AH1285" s="111"/>
      <c r="AI1285" s="111"/>
    </row>
    <row r="1286" spans="1:35" ht="18.75" customHeight="1">
      <c r="A1286" s="168"/>
      <c r="B1286" s="168"/>
      <c r="C1286" s="168"/>
      <c r="D1286" s="111"/>
      <c r="E1286" s="111"/>
      <c r="F1286" s="111"/>
      <c r="G1286" s="111"/>
      <c r="H1286" s="111"/>
      <c r="I1286" s="111"/>
      <c r="J1286" s="111"/>
      <c r="K1286" s="111"/>
      <c r="L1286" s="111"/>
      <c r="M1286" s="111"/>
      <c r="N1286" s="111"/>
      <c r="O1286" s="111"/>
      <c r="P1286" s="111"/>
      <c r="Q1286" s="111"/>
      <c r="R1286" s="111"/>
      <c r="S1286" s="111"/>
      <c r="T1286" s="111"/>
      <c r="U1286" s="111"/>
      <c r="V1286" s="111"/>
      <c r="W1286" s="111"/>
      <c r="X1286" s="111"/>
      <c r="Y1286" s="111"/>
      <c r="Z1286" s="111"/>
      <c r="AA1286" s="111"/>
      <c r="AB1286" s="111"/>
      <c r="AC1286" s="111"/>
      <c r="AD1286" s="111"/>
      <c r="AE1286" s="111"/>
      <c r="AF1286" s="111"/>
      <c r="AG1286" s="111"/>
      <c r="AH1286" s="111"/>
      <c r="AI1286" s="111"/>
    </row>
    <row r="1287" spans="1:35" ht="18.75" customHeight="1">
      <c r="A1287" s="168"/>
      <c r="B1287" s="168"/>
      <c r="C1287" s="168"/>
      <c r="D1287" s="111"/>
      <c r="E1287" s="111"/>
      <c r="F1287" s="111"/>
      <c r="G1287" s="111"/>
      <c r="H1287" s="111"/>
      <c r="I1287" s="111"/>
      <c r="J1287" s="111"/>
      <c r="K1287" s="111"/>
      <c r="L1287" s="111"/>
      <c r="M1287" s="111"/>
      <c r="N1287" s="111"/>
      <c r="O1287" s="111"/>
      <c r="P1287" s="111"/>
      <c r="Q1287" s="111"/>
      <c r="R1287" s="111"/>
      <c r="S1287" s="111"/>
      <c r="T1287" s="111"/>
      <c r="U1287" s="111"/>
      <c r="V1287" s="111"/>
      <c r="W1287" s="111"/>
      <c r="X1287" s="111"/>
      <c r="Y1287" s="111"/>
      <c r="Z1287" s="111"/>
      <c r="AA1287" s="111"/>
      <c r="AB1287" s="111"/>
      <c r="AC1287" s="111"/>
      <c r="AD1287" s="111"/>
      <c r="AE1287" s="111"/>
      <c r="AF1287" s="111"/>
      <c r="AG1287" s="111"/>
      <c r="AH1287" s="111"/>
      <c r="AI1287" s="111"/>
    </row>
    <row r="1288" spans="1:35" ht="18.75" customHeight="1">
      <c r="A1288" s="168"/>
      <c r="B1288" s="168"/>
      <c r="C1288" s="168"/>
      <c r="D1288" s="111"/>
      <c r="E1288" s="111"/>
      <c r="F1288" s="111"/>
      <c r="G1288" s="111"/>
      <c r="H1288" s="111"/>
      <c r="I1288" s="111"/>
      <c r="J1288" s="111"/>
      <c r="K1288" s="111"/>
      <c r="L1288" s="111"/>
      <c r="M1288" s="111"/>
      <c r="N1288" s="111"/>
      <c r="O1288" s="111"/>
      <c r="P1288" s="111"/>
      <c r="Q1288" s="111"/>
      <c r="R1288" s="111"/>
      <c r="S1288" s="111"/>
      <c r="T1288" s="111"/>
      <c r="U1288" s="111"/>
      <c r="V1288" s="111"/>
      <c r="W1288" s="111"/>
      <c r="X1288" s="111"/>
      <c r="Y1288" s="111"/>
      <c r="Z1288" s="111"/>
      <c r="AA1288" s="111"/>
      <c r="AB1288" s="111"/>
      <c r="AC1288" s="111"/>
      <c r="AD1288" s="111"/>
      <c r="AE1288" s="111"/>
      <c r="AF1288" s="111"/>
      <c r="AG1288" s="111"/>
      <c r="AH1288" s="111"/>
      <c r="AI1288" s="111"/>
    </row>
    <row r="1289" spans="1:35" ht="18.75" customHeight="1">
      <c r="A1289" s="168"/>
      <c r="B1289" s="168"/>
      <c r="C1289" s="168"/>
      <c r="D1289" s="111"/>
      <c r="E1289" s="111"/>
      <c r="F1289" s="111"/>
      <c r="G1289" s="111"/>
      <c r="H1289" s="111"/>
      <c r="I1289" s="111"/>
      <c r="J1289" s="111"/>
      <c r="K1289" s="111"/>
      <c r="L1289" s="111"/>
      <c r="M1289" s="111"/>
      <c r="N1289" s="111"/>
      <c r="O1289" s="111"/>
      <c r="P1289" s="111"/>
      <c r="Q1289" s="111"/>
      <c r="R1289" s="111"/>
      <c r="S1289" s="111"/>
      <c r="T1289" s="111"/>
      <c r="U1289" s="111"/>
      <c r="V1289" s="111"/>
      <c r="W1289" s="111"/>
      <c r="X1289" s="111"/>
      <c r="Y1289" s="111"/>
      <c r="Z1289" s="111"/>
      <c r="AA1289" s="111"/>
      <c r="AB1289" s="111"/>
      <c r="AC1289" s="111"/>
      <c r="AD1289" s="111"/>
      <c r="AE1289" s="111"/>
      <c r="AF1289" s="111"/>
      <c r="AG1289" s="111"/>
      <c r="AH1289" s="111"/>
      <c r="AI1289" s="111"/>
    </row>
    <row r="1290" spans="1:35" ht="18.75" customHeight="1">
      <c r="A1290" s="168"/>
      <c r="B1290" s="168"/>
      <c r="C1290" s="168"/>
      <c r="D1290" s="111"/>
      <c r="E1290" s="111"/>
      <c r="F1290" s="111"/>
      <c r="G1290" s="111"/>
      <c r="H1290" s="111"/>
      <c r="I1290" s="111"/>
      <c r="J1290" s="111"/>
      <c r="K1290" s="111"/>
      <c r="L1290" s="111"/>
      <c r="M1290" s="111"/>
      <c r="N1290" s="111"/>
      <c r="O1290" s="111"/>
      <c r="P1290" s="111"/>
      <c r="Q1290" s="111"/>
      <c r="R1290" s="111"/>
      <c r="S1290" s="111"/>
      <c r="T1290" s="111"/>
      <c r="U1290" s="111"/>
      <c r="V1290" s="111"/>
      <c r="W1290" s="111"/>
      <c r="X1290" s="111"/>
      <c r="Y1290" s="111"/>
      <c r="Z1290" s="111"/>
      <c r="AA1290" s="111"/>
      <c r="AB1290" s="111"/>
      <c r="AC1290" s="111"/>
      <c r="AD1290" s="111"/>
      <c r="AE1290" s="111"/>
      <c r="AF1290" s="111"/>
      <c r="AG1290" s="111"/>
      <c r="AH1290" s="111"/>
      <c r="AI1290" s="111"/>
    </row>
    <row r="1291" spans="1:35" ht="18.75" customHeight="1">
      <c r="A1291" s="168"/>
      <c r="B1291" s="168"/>
      <c r="C1291" s="168"/>
      <c r="D1291" s="111"/>
      <c r="E1291" s="111"/>
      <c r="F1291" s="111"/>
      <c r="G1291" s="111"/>
      <c r="H1291" s="111"/>
      <c r="I1291" s="111"/>
      <c r="J1291" s="111"/>
      <c r="K1291" s="111"/>
      <c r="L1291" s="111"/>
      <c r="M1291" s="111"/>
      <c r="N1291" s="111"/>
      <c r="O1291" s="111"/>
      <c r="P1291" s="111"/>
      <c r="Q1291" s="111"/>
      <c r="R1291" s="111"/>
      <c r="S1291" s="111"/>
      <c r="T1291" s="111"/>
      <c r="U1291" s="111"/>
      <c r="V1291" s="111"/>
      <c r="W1291" s="111"/>
      <c r="X1291" s="111"/>
      <c r="Y1291" s="111"/>
      <c r="Z1291" s="111"/>
      <c r="AA1291" s="111"/>
      <c r="AB1291" s="111"/>
      <c r="AC1291" s="111"/>
      <c r="AD1291" s="111"/>
      <c r="AE1291" s="111"/>
      <c r="AF1291" s="111"/>
      <c r="AG1291" s="111"/>
      <c r="AH1291" s="111"/>
      <c r="AI1291" s="111"/>
    </row>
    <row r="1292" spans="1:35" ht="18.75" customHeight="1">
      <c r="A1292" s="168"/>
      <c r="B1292" s="168"/>
      <c r="C1292" s="168"/>
      <c r="D1292" s="111"/>
      <c r="E1292" s="111"/>
      <c r="F1292" s="111"/>
      <c r="G1292" s="111"/>
      <c r="H1292" s="111"/>
      <c r="I1292" s="111"/>
      <c r="J1292" s="111"/>
      <c r="K1292" s="111"/>
      <c r="L1292" s="111"/>
      <c r="M1292" s="111"/>
      <c r="N1292" s="111"/>
      <c r="O1292" s="111"/>
      <c r="P1292" s="111"/>
      <c r="Q1292" s="111"/>
      <c r="R1292" s="111"/>
      <c r="S1292" s="111"/>
      <c r="T1292" s="111"/>
      <c r="U1292" s="111"/>
      <c r="V1292" s="111"/>
      <c r="W1292" s="111"/>
      <c r="X1292" s="111"/>
      <c r="Y1292" s="111"/>
      <c r="Z1292" s="111"/>
      <c r="AA1292" s="111"/>
      <c r="AB1292" s="111"/>
      <c r="AC1292" s="111"/>
      <c r="AD1292" s="111"/>
      <c r="AE1292" s="111"/>
      <c r="AF1292" s="111"/>
      <c r="AG1292" s="111"/>
      <c r="AH1292" s="111"/>
      <c r="AI1292" s="111"/>
    </row>
    <row r="1293" spans="1:35" ht="18.75" customHeight="1">
      <c r="A1293" s="168"/>
      <c r="B1293" s="168"/>
      <c r="C1293" s="168"/>
      <c r="D1293" s="111"/>
      <c r="E1293" s="111"/>
      <c r="F1293" s="111"/>
      <c r="G1293" s="111"/>
      <c r="H1293" s="111"/>
      <c r="I1293" s="111"/>
      <c r="J1293" s="111"/>
      <c r="K1293" s="111"/>
      <c r="L1293" s="111"/>
      <c r="M1293" s="111"/>
      <c r="N1293" s="111"/>
      <c r="O1293" s="111"/>
      <c r="P1293" s="111"/>
      <c r="Q1293" s="111"/>
      <c r="R1293" s="111"/>
      <c r="S1293" s="111"/>
      <c r="T1293" s="111"/>
      <c r="U1293" s="111"/>
      <c r="V1293" s="111"/>
      <c r="W1293" s="111"/>
      <c r="X1293" s="111"/>
      <c r="Y1293" s="111"/>
      <c r="Z1293" s="111"/>
      <c r="AA1293" s="111"/>
      <c r="AB1293" s="111"/>
      <c r="AC1293" s="111"/>
      <c r="AD1293" s="111"/>
      <c r="AE1293" s="111"/>
      <c r="AF1293" s="111"/>
      <c r="AG1293" s="111"/>
      <c r="AH1293" s="111"/>
      <c r="AI1293" s="111"/>
    </row>
    <row r="1294" spans="1:35" ht="18.75" customHeight="1">
      <c r="A1294" s="168"/>
      <c r="B1294" s="168"/>
      <c r="C1294" s="168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  <c r="AG1294" s="111"/>
      <c r="AH1294" s="111"/>
      <c r="AI1294" s="111"/>
    </row>
    <row r="1295" spans="1:35" ht="18.75" customHeight="1">
      <c r="A1295" s="168"/>
      <c r="B1295" s="168"/>
      <c r="C1295" s="168"/>
      <c r="D1295" s="111"/>
      <c r="E1295" s="111"/>
      <c r="F1295" s="111"/>
      <c r="G1295" s="111"/>
      <c r="H1295" s="111"/>
      <c r="I1295" s="111"/>
      <c r="J1295" s="111"/>
      <c r="K1295" s="111"/>
      <c r="L1295" s="111"/>
      <c r="M1295" s="111"/>
      <c r="N1295" s="111"/>
      <c r="O1295" s="111"/>
      <c r="P1295" s="111"/>
      <c r="Q1295" s="111"/>
      <c r="R1295" s="111"/>
      <c r="S1295" s="111"/>
      <c r="T1295" s="111"/>
      <c r="U1295" s="111"/>
      <c r="V1295" s="111"/>
      <c r="W1295" s="111"/>
      <c r="X1295" s="111"/>
      <c r="Y1295" s="111"/>
      <c r="Z1295" s="111"/>
      <c r="AA1295" s="111"/>
      <c r="AB1295" s="111"/>
      <c r="AC1295" s="111"/>
      <c r="AD1295" s="111"/>
      <c r="AE1295" s="111"/>
      <c r="AF1295" s="111"/>
      <c r="AG1295" s="111"/>
      <c r="AH1295" s="111"/>
      <c r="AI1295" s="111"/>
    </row>
    <row r="1296" spans="1:35" ht="18.75" customHeight="1">
      <c r="A1296" s="168"/>
      <c r="B1296" s="168"/>
      <c r="C1296" s="168"/>
      <c r="D1296" s="111"/>
      <c r="E1296" s="111"/>
      <c r="F1296" s="111"/>
      <c r="G1296" s="111"/>
      <c r="H1296" s="111"/>
      <c r="I1296" s="111"/>
      <c r="J1296" s="111"/>
      <c r="K1296" s="111"/>
      <c r="L1296" s="111"/>
      <c r="M1296" s="111"/>
      <c r="N1296" s="111"/>
      <c r="O1296" s="111"/>
      <c r="P1296" s="111"/>
      <c r="Q1296" s="111"/>
      <c r="R1296" s="111"/>
      <c r="S1296" s="111"/>
      <c r="T1296" s="111"/>
      <c r="U1296" s="111"/>
      <c r="V1296" s="111"/>
      <c r="W1296" s="111"/>
      <c r="X1296" s="111"/>
      <c r="Y1296" s="111"/>
      <c r="Z1296" s="111"/>
      <c r="AA1296" s="111"/>
      <c r="AB1296" s="111"/>
      <c r="AC1296" s="111"/>
      <c r="AD1296" s="111"/>
      <c r="AE1296" s="111"/>
      <c r="AF1296" s="111"/>
      <c r="AG1296" s="111"/>
      <c r="AH1296" s="111"/>
      <c r="AI1296" s="111"/>
    </row>
    <row r="1297" spans="1:35" ht="18.75" customHeight="1">
      <c r="A1297" s="168"/>
      <c r="B1297" s="168"/>
      <c r="C1297" s="168"/>
      <c r="D1297" s="111"/>
      <c r="E1297" s="111"/>
      <c r="F1297" s="111"/>
      <c r="G1297" s="111"/>
      <c r="H1297" s="111"/>
      <c r="I1297" s="111"/>
      <c r="J1297" s="111"/>
      <c r="K1297" s="111"/>
      <c r="L1297" s="111"/>
      <c r="M1297" s="111"/>
      <c r="N1297" s="111"/>
      <c r="O1297" s="111"/>
      <c r="P1297" s="111"/>
      <c r="Q1297" s="111"/>
      <c r="R1297" s="111"/>
      <c r="S1297" s="111"/>
      <c r="T1297" s="111"/>
      <c r="U1297" s="111"/>
      <c r="V1297" s="111"/>
      <c r="W1297" s="111"/>
      <c r="X1297" s="111"/>
      <c r="Y1297" s="111"/>
      <c r="Z1297" s="111"/>
      <c r="AA1297" s="111"/>
      <c r="AB1297" s="111"/>
      <c r="AC1297" s="111"/>
      <c r="AD1297" s="111"/>
      <c r="AE1297" s="111"/>
      <c r="AF1297" s="111"/>
      <c r="AG1297" s="111"/>
      <c r="AH1297" s="111"/>
      <c r="AI1297" s="111"/>
    </row>
    <row r="1298" spans="1:35" ht="18.75" customHeight="1">
      <c r="A1298" s="168"/>
      <c r="B1298" s="168"/>
      <c r="C1298" s="168"/>
      <c r="D1298" s="111"/>
      <c r="E1298" s="111"/>
      <c r="F1298" s="111"/>
      <c r="G1298" s="111"/>
      <c r="H1298" s="111"/>
      <c r="I1298" s="111"/>
      <c r="J1298" s="111"/>
      <c r="K1298" s="111"/>
      <c r="L1298" s="111"/>
      <c r="M1298" s="111"/>
      <c r="N1298" s="111"/>
      <c r="O1298" s="111"/>
      <c r="P1298" s="111"/>
      <c r="Q1298" s="111"/>
      <c r="R1298" s="111"/>
      <c r="S1298" s="111"/>
      <c r="T1298" s="111"/>
      <c r="U1298" s="111"/>
      <c r="V1298" s="111"/>
      <c r="W1298" s="111"/>
      <c r="X1298" s="111"/>
      <c r="Y1298" s="111"/>
      <c r="Z1298" s="111"/>
      <c r="AA1298" s="111"/>
      <c r="AB1298" s="111"/>
      <c r="AC1298" s="111"/>
      <c r="AD1298" s="111"/>
      <c r="AE1298" s="111"/>
      <c r="AF1298" s="111"/>
      <c r="AG1298" s="111"/>
      <c r="AH1298" s="111"/>
      <c r="AI1298" s="111"/>
    </row>
    <row r="1299" spans="1:35" ht="18.75" customHeight="1">
      <c r="A1299" s="168"/>
      <c r="B1299" s="168"/>
      <c r="C1299" s="168"/>
      <c r="D1299" s="111"/>
      <c r="E1299" s="111"/>
      <c r="F1299" s="111"/>
      <c r="G1299" s="111"/>
      <c r="H1299" s="111"/>
      <c r="I1299" s="111"/>
      <c r="J1299" s="111"/>
      <c r="K1299" s="111"/>
      <c r="L1299" s="111"/>
      <c r="M1299" s="111"/>
      <c r="N1299" s="111"/>
      <c r="O1299" s="111"/>
      <c r="P1299" s="111"/>
      <c r="Q1299" s="111"/>
      <c r="R1299" s="111"/>
      <c r="S1299" s="111"/>
      <c r="T1299" s="111"/>
      <c r="U1299" s="111"/>
      <c r="V1299" s="111"/>
      <c r="W1299" s="111"/>
      <c r="X1299" s="111"/>
      <c r="Y1299" s="111"/>
      <c r="Z1299" s="111"/>
      <c r="AA1299" s="111"/>
      <c r="AB1299" s="111"/>
      <c r="AC1299" s="111"/>
      <c r="AD1299" s="111"/>
      <c r="AE1299" s="111"/>
      <c r="AF1299" s="111"/>
      <c r="AG1299" s="111"/>
      <c r="AH1299" s="111"/>
      <c r="AI1299" s="111"/>
    </row>
    <row r="1300" spans="1:35" ht="18.75" customHeight="1">
      <c r="A1300" s="168"/>
      <c r="B1300" s="168"/>
      <c r="C1300" s="168"/>
      <c r="D1300" s="111"/>
      <c r="E1300" s="111"/>
      <c r="F1300" s="111"/>
      <c r="G1300" s="111"/>
      <c r="H1300" s="111"/>
      <c r="I1300" s="111"/>
      <c r="J1300" s="111"/>
      <c r="K1300" s="111"/>
      <c r="L1300" s="111"/>
      <c r="M1300" s="111"/>
      <c r="N1300" s="111"/>
      <c r="O1300" s="111"/>
      <c r="P1300" s="111"/>
      <c r="Q1300" s="111"/>
      <c r="R1300" s="111"/>
      <c r="S1300" s="111"/>
      <c r="T1300" s="111"/>
      <c r="U1300" s="111"/>
      <c r="V1300" s="111"/>
      <c r="W1300" s="111"/>
      <c r="X1300" s="111"/>
      <c r="Y1300" s="111"/>
      <c r="Z1300" s="111"/>
      <c r="AA1300" s="111"/>
      <c r="AB1300" s="111"/>
      <c r="AC1300" s="111"/>
      <c r="AD1300" s="111"/>
      <c r="AE1300" s="111"/>
      <c r="AF1300" s="111"/>
      <c r="AG1300" s="111"/>
      <c r="AH1300" s="111"/>
      <c r="AI1300" s="111"/>
    </row>
    <row r="1301" spans="1:35" ht="18.75" customHeight="1">
      <c r="A1301" s="168"/>
      <c r="B1301" s="168"/>
      <c r="C1301" s="168"/>
      <c r="D1301" s="111"/>
      <c r="E1301" s="111"/>
      <c r="F1301" s="111"/>
      <c r="G1301" s="111"/>
      <c r="H1301" s="111"/>
      <c r="I1301" s="111"/>
      <c r="J1301" s="111"/>
      <c r="K1301" s="111"/>
      <c r="L1301" s="111"/>
      <c r="M1301" s="111"/>
      <c r="N1301" s="111"/>
      <c r="O1301" s="111"/>
      <c r="P1301" s="111"/>
      <c r="Q1301" s="111"/>
      <c r="R1301" s="111"/>
      <c r="S1301" s="111"/>
      <c r="T1301" s="111"/>
      <c r="U1301" s="111"/>
      <c r="V1301" s="111"/>
      <c r="W1301" s="111"/>
      <c r="X1301" s="111"/>
      <c r="Y1301" s="111"/>
      <c r="Z1301" s="111"/>
      <c r="AA1301" s="111"/>
      <c r="AB1301" s="111"/>
      <c r="AC1301" s="111"/>
      <c r="AD1301" s="111"/>
      <c r="AE1301" s="111"/>
      <c r="AF1301" s="111"/>
      <c r="AG1301" s="111"/>
      <c r="AH1301" s="111"/>
      <c r="AI1301" s="111"/>
    </row>
    <row r="1302" spans="1:35" ht="18.75" customHeight="1">
      <c r="A1302" s="168"/>
      <c r="B1302" s="168"/>
      <c r="C1302" s="168"/>
      <c r="D1302" s="111"/>
      <c r="E1302" s="111"/>
      <c r="F1302" s="111"/>
      <c r="G1302" s="111"/>
      <c r="H1302" s="111"/>
      <c r="I1302" s="111"/>
      <c r="J1302" s="111"/>
      <c r="K1302" s="111"/>
      <c r="L1302" s="111"/>
      <c r="M1302" s="111"/>
      <c r="N1302" s="111"/>
      <c r="O1302" s="111"/>
      <c r="P1302" s="111"/>
      <c r="Q1302" s="111"/>
      <c r="R1302" s="111"/>
      <c r="S1302" s="111"/>
      <c r="T1302" s="111"/>
      <c r="U1302" s="111"/>
      <c r="V1302" s="111"/>
      <c r="W1302" s="111"/>
      <c r="X1302" s="111"/>
      <c r="Y1302" s="111"/>
      <c r="Z1302" s="111"/>
      <c r="AA1302" s="111"/>
      <c r="AB1302" s="111"/>
      <c r="AC1302" s="111"/>
      <c r="AD1302" s="111"/>
      <c r="AE1302" s="111"/>
      <c r="AF1302" s="111"/>
      <c r="AG1302" s="111"/>
      <c r="AH1302" s="111"/>
      <c r="AI1302" s="111"/>
    </row>
    <row r="1303" spans="1:35" ht="18.75" customHeight="1">
      <c r="A1303" s="168"/>
      <c r="B1303" s="168"/>
      <c r="C1303" s="168"/>
      <c r="D1303" s="111"/>
      <c r="E1303" s="111"/>
      <c r="F1303" s="111"/>
      <c r="G1303" s="111"/>
      <c r="H1303" s="111"/>
      <c r="I1303" s="111"/>
      <c r="J1303" s="111"/>
      <c r="K1303" s="111"/>
      <c r="L1303" s="111"/>
      <c r="M1303" s="111"/>
      <c r="N1303" s="111"/>
      <c r="O1303" s="111"/>
      <c r="P1303" s="111"/>
      <c r="Q1303" s="111"/>
      <c r="R1303" s="111"/>
      <c r="S1303" s="111"/>
      <c r="T1303" s="111"/>
      <c r="U1303" s="111"/>
      <c r="V1303" s="111"/>
      <c r="W1303" s="111"/>
      <c r="X1303" s="111"/>
      <c r="Y1303" s="111"/>
      <c r="Z1303" s="111"/>
      <c r="AA1303" s="111"/>
      <c r="AB1303" s="111"/>
      <c r="AC1303" s="111"/>
      <c r="AD1303" s="111"/>
      <c r="AE1303" s="111"/>
      <c r="AF1303" s="111"/>
      <c r="AG1303" s="111"/>
      <c r="AH1303" s="111"/>
      <c r="AI1303" s="111"/>
    </row>
    <row r="1304" spans="1:35" ht="18.75" customHeight="1">
      <c r="A1304" s="168"/>
      <c r="B1304" s="168"/>
      <c r="C1304" s="168"/>
      <c r="D1304" s="111"/>
      <c r="E1304" s="111"/>
      <c r="F1304" s="111"/>
      <c r="G1304" s="111"/>
      <c r="H1304" s="111"/>
      <c r="I1304" s="111"/>
      <c r="J1304" s="111"/>
      <c r="K1304" s="111"/>
      <c r="L1304" s="111"/>
      <c r="M1304" s="111"/>
      <c r="N1304" s="111"/>
      <c r="O1304" s="111"/>
      <c r="P1304" s="111"/>
      <c r="Q1304" s="111"/>
      <c r="R1304" s="111"/>
      <c r="S1304" s="111"/>
      <c r="T1304" s="111"/>
      <c r="U1304" s="111"/>
      <c r="V1304" s="111"/>
      <c r="W1304" s="111"/>
      <c r="X1304" s="111"/>
      <c r="Y1304" s="111"/>
      <c r="Z1304" s="111"/>
      <c r="AA1304" s="111"/>
      <c r="AB1304" s="111"/>
      <c r="AC1304" s="111"/>
      <c r="AD1304" s="111"/>
      <c r="AE1304" s="111"/>
      <c r="AF1304" s="111"/>
      <c r="AG1304" s="111"/>
      <c r="AH1304" s="111"/>
      <c r="AI1304" s="111"/>
    </row>
    <row r="1305" spans="1:35" ht="18.75" customHeight="1">
      <c r="A1305" s="168"/>
      <c r="B1305" s="168"/>
      <c r="C1305" s="168"/>
      <c r="D1305" s="111"/>
      <c r="E1305" s="111"/>
      <c r="F1305" s="111"/>
      <c r="G1305" s="111"/>
      <c r="H1305" s="111"/>
      <c r="I1305" s="111"/>
      <c r="J1305" s="111"/>
      <c r="K1305" s="111"/>
      <c r="L1305" s="111"/>
      <c r="M1305" s="111"/>
      <c r="N1305" s="111"/>
      <c r="O1305" s="111"/>
      <c r="P1305" s="111"/>
      <c r="Q1305" s="111"/>
      <c r="R1305" s="111"/>
      <c r="S1305" s="111"/>
      <c r="T1305" s="111"/>
      <c r="U1305" s="111"/>
      <c r="V1305" s="111"/>
      <c r="W1305" s="111"/>
      <c r="X1305" s="111"/>
      <c r="Y1305" s="111"/>
      <c r="Z1305" s="111"/>
      <c r="AA1305" s="111"/>
      <c r="AB1305" s="111"/>
      <c r="AC1305" s="111"/>
      <c r="AD1305" s="111"/>
      <c r="AE1305" s="111"/>
      <c r="AF1305" s="111"/>
      <c r="AG1305" s="111"/>
      <c r="AH1305" s="111"/>
      <c r="AI1305" s="111"/>
    </row>
    <row r="1306" spans="1:35" ht="18.75" customHeight="1">
      <c r="A1306" s="168"/>
      <c r="B1306" s="168"/>
      <c r="C1306" s="168"/>
      <c r="D1306" s="111"/>
      <c r="E1306" s="111"/>
      <c r="F1306" s="111"/>
      <c r="G1306" s="111"/>
      <c r="H1306" s="111"/>
      <c r="I1306" s="111"/>
      <c r="J1306" s="111"/>
      <c r="K1306" s="111"/>
      <c r="L1306" s="111"/>
      <c r="M1306" s="111"/>
      <c r="N1306" s="111"/>
      <c r="O1306" s="111"/>
      <c r="P1306" s="111"/>
      <c r="Q1306" s="111"/>
      <c r="R1306" s="111"/>
      <c r="S1306" s="111"/>
      <c r="T1306" s="111"/>
      <c r="U1306" s="111"/>
      <c r="V1306" s="111"/>
      <c r="W1306" s="111"/>
      <c r="X1306" s="111"/>
      <c r="Y1306" s="111"/>
      <c r="Z1306" s="111"/>
      <c r="AA1306" s="111"/>
      <c r="AB1306" s="111"/>
      <c r="AC1306" s="111"/>
      <c r="AD1306" s="111"/>
      <c r="AE1306" s="111"/>
      <c r="AF1306" s="111"/>
      <c r="AG1306" s="111"/>
      <c r="AH1306" s="111"/>
      <c r="AI1306" s="111"/>
    </row>
    <row r="1307" spans="1:35" ht="18.75" customHeight="1">
      <c r="A1307" s="168"/>
      <c r="B1307" s="168"/>
      <c r="C1307" s="168"/>
      <c r="D1307" s="111"/>
      <c r="E1307" s="111"/>
      <c r="F1307" s="111"/>
      <c r="G1307" s="111"/>
      <c r="H1307" s="111"/>
      <c r="I1307" s="111"/>
      <c r="J1307" s="111"/>
      <c r="K1307" s="111"/>
      <c r="L1307" s="111"/>
      <c r="M1307" s="111"/>
      <c r="N1307" s="111"/>
      <c r="O1307" s="111"/>
      <c r="P1307" s="111"/>
      <c r="Q1307" s="111"/>
      <c r="R1307" s="111"/>
      <c r="S1307" s="111"/>
      <c r="T1307" s="111"/>
      <c r="U1307" s="111"/>
      <c r="V1307" s="111"/>
      <c r="W1307" s="111"/>
      <c r="X1307" s="111"/>
      <c r="Y1307" s="111"/>
      <c r="Z1307" s="111"/>
      <c r="AA1307" s="111"/>
      <c r="AB1307" s="111"/>
      <c r="AC1307" s="111"/>
      <c r="AD1307" s="111"/>
      <c r="AE1307" s="111"/>
      <c r="AF1307" s="111"/>
      <c r="AG1307" s="111"/>
      <c r="AH1307" s="111"/>
      <c r="AI1307" s="111"/>
    </row>
    <row r="1308" spans="1:35" ht="18.75" customHeight="1">
      <c r="A1308" s="168"/>
      <c r="B1308" s="168"/>
      <c r="C1308" s="168"/>
      <c r="D1308" s="111"/>
      <c r="E1308" s="111"/>
      <c r="F1308" s="111"/>
      <c r="G1308" s="111"/>
      <c r="H1308" s="111"/>
      <c r="I1308" s="111"/>
      <c r="J1308" s="111"/>
      <c r="K1308" s="111"/>
      <c r="L1308" s="111"/>
      <c r="M1308" s="111"/>
      <c r="N1308" s="111"/>
      <c r="O1308" s="111"/>
      <c r="P1308" s="111"/>
      <c r="Q1308" s="111"/>
      <c r="R1308" s="111"/>
      <c r="S1308" s="111"/>
      <c r="T1308" s="111"/>
      <c r="U1308" s="111"/>
      <c r="V1308" s="111"/>
      <c r="W1308" s="111"/>
      <c r="X1308" s="111"/>
      <c r="Y1308" s="111"/>
      <c r="Z1308" s="111"/>
      <c r="AA1308" s="111"/>
      <c r="AB1308" s="111"/>
      <c r="AC1308" s="111"/>
      <c r="AD1308" s="111"/>
      <c r="AE1308" s="111"/>
      <c r="AF1308" s="111"/>
      <c r="AG1308" s="111"/>
      <c r="AH1308" s="111"/>
      <c r="AI1308" s="111"/>
    </row>
    <row r="1309" spans="1:35" ht="18.75" customHeight="1">
      <c r="A1309" s="168"/>
      <c r="B1309" s="168"/>
      <c r="C1309" s="168"/>
      <c r="D1309" s="111"/>
      <c r="E1309" s="111"/>
      <c r="F1309" s="111"/>
      <c r="G1309" s="111"/>
      <c r="H1309" s="111"/>
      <c r="I1309" s="111"/>
      <c r="J1309" s="111"/>
      <c r="K1309" s="111"/>
      <c r="L1309" s="111"/>
      <c r="M1309" s="111"/>
      <c r="N1309" s="111"/>
      <c r="O1309" s="111"/>
      <c r="P1309" s="111"/>
      <c r="Q1309" s="111"/>
      <c r="R1309" s="111"/>
      <c r="S1309" s="111"/>
      <c r="T1309" s="111"/>
      <c r="U1309" s="111"/>
      <c r="V1309" s="111"/>
      <c r="W1309" s="111"/>
      <c r="X1309" s="111"/>
      <c r="Y1309" s="111"/>
      <c r="Z1309" s="111"/>
      <c r="AA1309" s="111"/>
      <c r="AB1309" s="111"/>
      <c r="AC1309" s="111"/>
      <c r="AD1309" s="111"/>
      <c r="AE1309" s="111"/>
      <c r="AF1309" s="111"/>
      <c r="AG1309" s="111"/>
      <c r="AH1309" s="111"/>
      <c r="AI1309" s="111"/>
    </row>
    <row r="1310" spans="1:35" ht="18.75" customHeight="1">
      <c r="A1310" s="168"/>
      <c r="B1310" s="168"/>
      <c r="C1310" s="168"/>
      <c r="D1310" s="111"/>
      <c r="E1310" s="111"/>
      <c r="F1310" s="111"/>
      <c r="G1310" s="111"/>
      <c r="H1310" s="111"/>
      <c r="I1310" s="111"/>
      <c r="J1310" s="111"/>
      <c r="K1310" s="111"/>
      <c r="L1310" s="111"/>
      <c r="M1310" s="111"/>
      <c r="N1310" s="111"/>
      <c r="O1310" s="111"/>
      <c r="P1310" s="111"/>
      <c r="Q1310" s="111"/>
      <c r="R1310" s="111"/>
      <c r="S1310" s="111"/>
      <c r="T1310" s="111"/>
      <c r="U1310" s="111"/>
      <c r="V1310" s="111"/>
      <c r="W1310" s="111"/>
      <c r="X1310" s="111"/>
      <c r="Y1310" s="111"/>
      <c r="Z1310" s="111"/>
      <c r="AA1310" s="111"/>
      <c r="AB1310" s="111"/>
      <c r="AC1310" s="111"/>
      <c r="AD1310" s="111"/>
      <c r="AE1310" s="111"/>
      <c r="AF1310" s="111"/>
      <c r="AG1310" s="111"/>
      <c r="AH1310" s="111"/>
      <c r="AI1310" s="111"/>
    </row>
    <row r="1311" spans="1:35" ht="18.75" customHeight="1">
      <c r="A1311" s="168"/>
      <c r="B1311" s="168"/>
      <c r="C1311" s="168"/>
      <c r="D1311" s="111"/>
      <c r="E1311" s="111"/>
      <c r="F1311" s="111"/>
      <c r="G1311" s="111"/>
      <c r="H1311" s="111"/>
      <c r="I1311" s="111"/>
      <c r="J1311" s="111"/>
      <c r="K1311" s="111"/>
      <c r="L1311" s="111"/>
      <c r="M1311" s="111"/>
      <c r="N1311" s="111"/>
      <c r="O1311" s="111"/>
      <c r="P1311" s="111"/>
      <c r="Q1311" s="111"/>
      <c r="R1311" s="111"/>
      <c r="S1311" s="111"/>
      <c r="T1311" s="111"/>
      <c r="U1311" s="111"/>
      <c r="V1311" s="111"/>
      <c r="W1311" s="111"/>
      <c r="X1311" s="111"/>
      <c r="Y1311" s="111"/>
      <c r="Z1311" s="111"/>
      <c r="AA1311" s="111"/>
      <c r="AB1311" s="111"/>
      <c r="AC1311" s="111"/>
      <c r="AD1311" s="111"/>
      <c r="AE1311" s="111"/>
      <c r="AF1311" s="111"/>
      <c r="AG1311" s="111"/>
      <c r="AH1311" s="111"/>
      <c r="AI1311" s="111"/>
    </row>
    <row r="1312" spans="1:35" ht="18.75" customHeight="1">
      <c r="A1312" s="168"/>
      <c r="B1312" s="168"/>
      <c r="C1312" s="168"/>
      <c r="D1312" s="111"/>
      <c r="E1312" s="111"/>
      <c r="F1312" s="111"/>
      <c r="G1312" s="111"/>
      <c r="H1312" s="111"/>
      <c r="I1312" s="111"/>
      <c r="J1312" s="111"/>
      <c r="K1312" s="111"/>
      <c r="L1312" s="111"/>
      <c r="M1312" s="111"/>
      <c r="N1312" s="111"/>
      <c r="O1312" s="111"/>
      <c r="P1312" s="111"/>
      <c r="Q1312" s="111"/>
      <c r="R1312" s="111"/>
      <c r="S1312" s="111"/>
      <c r="T1312" s="111"/>
      <c r="U1312" s="111"/>
      <c r="V1312" s="111"/>
      <c r="W1312" s="111"/>
      <c r="X1312" s="111"/>
      <c r="Y1312" s="111"/>
      <c r="Z1312" s="111"/>
      <c r="AA1312" s="111"/>
      <c r="AB1312" s="111"/>
      <c r="AC1312" s="111"/>
      <c r="AD1312" s="111"/>
      <c r="AE1312" s="111"/>
      <c r="AF1312" s="111"/>
      <c r="AG1312" s="111"/>
      <c r="AH1312" s="111"/>
      <c r="AI1312" s="111"/>
    </row>
    <row r="1313" spans="1:35" ht="18.75" customHeight="1">
      <c r="A1313" s="168"/>
      <c r="B1313" s="168"/>
      <c r="C1313" s="168"/>
      <c r="D1313" s="111"/>
      <c r="E1313" s="111"/>
      <c r="F1313" s="111"/>
      <c r="G1313" s="111"/>
      <c r="H1313" s="111"/>
      <c r="I1313" s="111"/>
      <c r="J1313" s="111"/>
      <c r="K1313" s="111"/>
      <c r="L1313" s="111"/>
      <c r="M1313" s="111"/>
      <c r="N1313" s="111"/>
      <c r="O1313" s="111"/>
      <c r="P1313" s="111"/>
      <c r="Q1313" s="111"/>
      <c r="R1313" s="111"/>
      <c r="S1313" s="111"/>
      <c r="T1313" s="111"/>
      <c r="U1313" s="111"/>
      <c r="V1313" s="111"/>
      <c r="W1313" s="111"/>
      <c r="X1313" s="111"/>
      <c r="Y1313" s="111"/>
      <c r="Z1313" s="111"/>
      <c r="AA1313" s="111"/>
      <c r="AB1313" s="111"/>
      <c r="AC1313" s="111"/>
      <c r="AD1313" s="111"/>
      <c r="AE1313" s="111"/>
      <c r="AF1313" s="111"/>
      <c r="AG1313" s="111"/>
      <c r="AH1313" s="111"/>
      <c r="AI1313" s="111"/>
    </row>
    <row r="1314" spans="1:35" ht="18.75" customHeight="1">
      <c r="A1314" s="168"/>
      <c r="B1314" s="168"/>
      <c r="C1314" s="168"/>
      <c r="D1314" s="111"/>
      <c r="E1314" s="111"/>
      <c r="F1314" s="111"/>
      <c r="G1314" s="111"/>
      <c r="H1314" s="111"/>
      <c r="I1314" s="111"/>
      <c r="J1314" s="111"/>
      <c r="K1314" s="111"/>
      <c r="L1314" s="111"/>
      <c r="M1314" s="111"/>
      <c r="N1314" s="111"/>
      <c r="O1314" s="111"/>
      <c r="P1314" s="111"/>
      <c r="Q1314" s="111"/>
      <c r="R1314" s="111"/>
      <c r="S1314" s="111"/>
      <c r="T1314" s="111"/>
      <c r="U1314" s="111"/>
      <c r="V1314" s="111"/>
      <c r="W1314" s="111"/>
      <c r="X1314" s="111"/>
      <c r="Y1314" s="111"/>
      <c r="Z1314" s="111"/>
      <c r="AA1314" s="111"/>
      <c r="AB1314" s="111"/>
      <c r="AC1314" s="111"/>
      <c r="AD1314" s="111"/>
      <c r="AE1314" s="111"/>
      <c r="AF1314" s="111"/>
      <c r="AG1314" s="111"/>
      <c r="AH1314" s="111"/>
      <c r="AI1314" s="111"/>
    </row>
    <row r="1315" spans="1:35" ht="18.75" customHeight="1">
      <c r="A1315" s="168"/>
      <c r="B1315" s="168"/>
      <c r="C1315" s="168"/>
      <c r="D1315" s="111"/>
      <c r="E1315" s="111"/>
      <c r="F1315" s="111"/>
      <c r="G1315" s="111"/>
      <c r="H1315" s="111"/>
      <c r="I1315" s="111"/>
      <c r="J1315" s="111"/>
      <c r="K1315" s="111"/>
      <c r="L1315" s="111"/>
      <c r="M1315" s="111"/>
      <c r="N1315" s="111"/>
      <c r="O1315" s="111"/>
      <c r="P1315" s="111"/>
      <c r="Q1315" s="111"/>
      <c r="R1315" s="111"/>
      <c r="S1315" s="111"/>
      <c r="T1315" s="111"/>
      <c r="U1315" s="111"/>
      <c r="V1315" s="111"/>
      <c r="W1315" s="111"/>
      <c r="X1315" s="111"/>
      <c r="Y1315" s="111"/>
      <c r="Z1315" s="111"/>
      <c r="AA1315" s="111"/>
      <c r="AB1315" s="111"/>
      <c r="AC1315" s="111"/>
      <c r="AD1315" s="111"/>
      <c r="AE1315" s="111"/>
      <c r="AF1315" s="111"/>
      <c r="AG1315" s="111"/>
      <c r="AH1315" s="111"/>
      <c r="AI1315" s="111"/>
    </row>
    <row r="1316" spans="1:35" ht="18.75" customHeight="1">
      <c r="A1316" s="168"/>
      <c r="B1316" s="168"/>
      <c r="C1316" s="168"/>
      <c r="D1316" s="111"/>
      <c r="E1316" s="111"/>
      <c r="F1316" s="111"/>
      <c r="G1316" s="111"/>
      <c r="H1316" s="111"/>
      <c r="I1316" s="111"/>
      <c r="J1316" s="111"/>
      <c r="K1316" s="111"/>
      <c r="L1316" s="111"/>
      <c r="M1316" s="111"/>
      <c r="N1316" s="111"/>
      <c r="O1316" s="111"/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/>
      <c r="AB1316" s="111"/>
      <c r="AC1316" s="111"/>
      <c r="AD1316" s="111"/>
      <c r="AE1316" s="111"/>
      <c r="AF1316" s="111"/>
      <c r="AG1316" s="111"/>
      <c r="AH1316" s="111"/>
      <c r="AI1316" s="111"/>
    </row>
    <row r="1317" spans="1:35" ht="18.75" customHeight="1">
      <c r="A1317" s="168"/>
      <c r="B1317" s="168"/>
      <c r="C1317" s="168"/>
      <c r="D1317" s="111"/>
      <c r="E1317" s="111"/>
      <c r="F1317" s="111"/>
      <c r="G1317" s="111"/>
      <c r="H1317" s="111"/>
      <c r="I1317" s="111"/>
      <c r="J1317" s="111"/>
      <c r="K1317" s="111"/>
      <c r="L1317" s="111"/>
      <c r="M1317" s="111"/>
      <c r="N1317" s="111"/>
      <c r="O1317" s="111"/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/>
      <c r="AB1317" s="111"/>
      <c r="AC1317" s="111"/>
      <c r="AD1317" s="111"/>
      <c r="AE1317" s="111"/>
      <c r="AF1317" s="111"/>
      <c r="AG1317" s="111"/>
      <c r="AH1317" s="111"/>
      <c r="AI1317" s="111"/>
    </row>
    <row r="1318" spans="1:35" ht="18.75" customHeight="1">
      <c r="A1318" s="168"/>
      <c r="B1318" s="168"/>
      <c r="C1318" s="168"/>
      <c r="D1318" s="111"/>
      <c r="E1318" s="111"/>
      <c r="F1318" s="111"/>
      <c r="G1318" s="111"/>
      <c r="H1318" s="111"/>
      <c r="I1318" s="111"/>
      <c r="J1318" s="111"/>
      <c r="K1318" s="111"/>
      <c r="L1318" s="111"/>
      <c r="M1318" s="111"/>
      <c r="N1318" s="111"/>
      <c r="O1318" s="111"/>
      <c r="P1318" s="111"/>
      <c r="Q1318" s="111"/>
      <c r="R1318" s="111"/>
      <c r="S1318" s="111"/>
      <c r="T1318" s="111"/>
      <c r="U1318" s="111"/>
      <c r="V1318" s="111"/>
      <c r="W1318" s="111"/>
      <c r="X1318" s="111"/>
      <c r="Y1318" s="111"/>
      <c r="Z1318" s="111"/>
      <c r="AA1318" s="111"/>
      <c r="AB1318" s="111"/>
      <c r="AC1318" s="111"/>
      <c r="AD1318" s="111"/>
      <c r="AE1318" s="111"/>
      <c r="AF1318" s="111"/>
      <c r="AG1318" s="111"/>
      <c r="AH1318" s="111"/>
      <c r="AI1318" s="111"/>
    </row>
    <row r="1319" spans="1:35" ht="18.75" customHeight="1">
      <c r="A1319" s="168"/>
      <c r="B1319" s="168"/>
      <c r="C1319" s="168"/>
      <c r="D1319" s="111"/>
      <c r="E1319" s="111"/>
      <c r="F1319" s="111"/>
      <c r="G1319" s="111"/>
      <c r="H1319" s="111"/>
      <c r="I1319" s="111"/>
      <c r="J1319" s="111"/>
      <c r="K1319" s="111"/>
      <c r="L1319" s="111"/>
      <c r="M1319" s="111"/>
      <c r="N1319" s="111"/>
      <c r="O1319" s="111"/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/>
      <c r="AB1319" s="111"/>
      <c r="AC1319" s="111"/>
      <c r="AD1319" s="111"/>
      <c r="AE1319" s="111"/>
      <c r="AF1319" s="111"/>
      <c r="AG1319" s="111"/>
      <c r="AH1319" s="111"/>
      <c r="AI1319" s="111"/>
    </row>
    <row r="1320" spans="1:35" ht="18.75" customHeight="1">
      <c r="A1320" s="168"/>
      <c r="B1320" s="168"/>
      <c r="C1320" s="168"/>
      <c r="D1320" s="111"/>
      <c r="E1320" s="111"/>
      <c r="F1320" s="111"/>
      <c r="G1320" s="111"/>
      <c r="H1320" s="111"/>
      <c r="I1320" s="111"/>
      <c r="J1320" s="111"/>
      <c r="K1320" s="111"/>
      <c r="L1320" s="111"/>
      <c r="M1320" s="111"/>
      <c r="N1320" s="111"/>
      <c r="O1320" s="111"/>
      <c r="P1320" s="111"/>
      <c r="Q1320" s="111"/>
      <c r="R1320" s="111"/>
      <c r="S1320" s="111"/>
      <c r="T1320" s="111"/>
      <c r="U1320" s="111"/>
      <c r="V1320" s="111"/>
      <c r="W1320" s="111"/>
      <c r="X1320" s="111"/>
      <c r="Y1320" s="111"/>
      <c r="Z1320" s="111"/>
      <c r="AA1320" s="111"/>
      <c r="AB1320" s="111"/>
      <c r="AC1320" s="111"/>
      <c r="AD1320" s="111"/>
      <c r="AE1320" s="111"/>
      <c r="AF1320" s="111"/>
      <c r="AG1320" s="111"/>
      <c r="AH1320" s="111"/>
      <c r="AI1320" s="111"/>
    </row>
    <row r="1321" spans="1:35" ht="18.75" customHeight="1">
      <c r="A1321" s="168"/>
      <c r="B1321" s="168"/>
      <c r="C1321" s="168"/>
      <c r="D1321" s="111"/>
      <c r="E1321" s="111"/>
      <c r="F1321" s="111"/>
      <c r="G1321" s="111"/>
      <c r="H1321" s="111"/>
      <c r="I1321" s="111"/>
      <c r="J1321" s="111"/>
      <c r="K1321" s="111"/>
      <c r="L1321" s="111"/>
      <c r="M1321" s="111"/>
      <c r="N1321" s="111"/>
      <c r="O1321" s="111"/>
      <c r="P1321" s="111"/>
      <c r="Q1321" s="111"/>
      <c r="R1321" s="111"/>
      <c r="S1321" s="111"/>
      <c r="T1321" s="111"/>
      <c r="U1321" s="111"/>
      <c r="V1321" s="111"/>
      <c r="W1321" s="111"/>
      <c r="X1321" s="111"/>
      <c r="Y1321" s="111"/>
      <c r="Z1321" s="111"/>
      <c r="AA1321" s="111"/>
      <c r="AB1321" s="111"/>
      <c r="AC1321" s="111"/>
      <c r="AD1321" s="111"/>
      <c r="AE1321" s="111"/>
      <c r="AF1321" s="111"/>
      <c r="AG1321" s="111"/>
      <c r="AH1321" s="111"/>
      <c r="AI1321" s="111"/>
    </row>
    <row r="1322" spans="1:35" ht="18.75" customHeight="1">
      <c r="A1322" s="168"/>
      <c r="B1322" s="168"/>
      <c r="C1322" s="168"/>
      <c r="D1322" s="111"/>
      <c r="E1322" s="111"/>
      <c r="F1322" s="111"/>
      <c r="G1322" s="111"/>
      <c r="H1322" s="111"/>
      <c r="I1322" s="111"/>
      <c r="J1322" s="111"/>
      <c r="K1322" s="111"/>
      <c r="L1322" s="111"/>
      <c r="M1322" s="111"/>
      <c r="N1322" s="111"/>
      <c r="O1322" s="111"/>
      <c r="P1322" s="111"/>
      <c r="Q1322" s="111"/>
      <c r="R1322" s="111"/>
      <c r="S1322" s="111"/>
      <c r="T1322" s="111"/>
      <c r="U1322" s="111"/>
      <c r="V1322" s="111"/>
      <c r="W1322" s="111"/>
      <c r="X1322" s="111"/>
      <c r="Y1322" s="111"/>
      <c r="Z1322" s="111"/>
      <c r="AA1322" s="111"/>
      <c r="AB1322" s="111"/>
      <c r="AC1322" s="111"/>
      <c r="AD1322" s="111"/>
      <c r="AE1322" s="111"/>
      <c r="AF1322" s="111"/>
      <c r="AG1322" s="111"/>
      <c r="AH1322" s="111"/>
      <c r="AI1322" s="111"/>
    </row>
    <row r="1323" spans="1:35" ht="18.75" customHeight="1">
      <c r="A1323" s="168"/>
      <c r="B1323" s="168"/>
      <c r="C1323" s="168"/>
      <c r="D1323" s="111"/>
      <c r="E1323" s="111"/>
      <c r="F1323" s="111"/>
      <c r="G1323" s="111"/>
      <c r="H1323" s="111"/>
      <c r="I1323" s="111"/>
      <c r="J1323" s="111"/>
      <c r="K1323" s="111"/>
      <c r="L1323" s="111"/>
      <c r="M1323" s="111"/>
      <c r="N1323" s="111"/>
      <c r="O1323" s="111"/>
      <c r="P1323" s="111"/>
      <c r="Q1323" s="111"/>
      <c r="R1323" s="111"/>
      <c r="S1323" s="111"/>
      <c r="T1323" s="111"/>
      <c r="U1323" s="111"/>
      <c r="V1323" s="111"/>
      <c r="W1323" s="111"/>
      <c r="X1323" s="111"/>
      <c r="Y1323" s="111"/>
      <c r="Z1323" s="111"/>
      <c r="AA1323" s="111"/>
      <c r="AB1323" s="111"/>
      <c r="AC1323" s="111"/>
      <c r="AD1323" s="111"/>
      <c r="AE1323" s="111"/>
      <c r="AF1323" s="111"/>
      <c r="AG1323" s="111"/>
      <c r="AH1323" s="111"/>
      <c r="AI1323" s="111"/>
    </row>
    <row r="1324" spans="1:35" ht="18.75" customHeight="1">
      <c r="A1324" s="168"/>
      <c r="B1324" s="168"/>
      <c r="C1324" s="168"/>
      <c r="D1324" s="111"/>
      <c r="E1324" s="111"/>
      <c r="F1324" s="111"/>
      <c r="G1324" s="111"/>
      <c r="H1324" s="111"/>
      <c r="I1324" s="111"/>
      <c r="J1324" s="111"/>
      <c r="K1324" s="111"/>
      <c r="L1324" s="111"/>
      <c r="M1324" s="111"/>
      <c r="N1324" s="111"/>
      <c r="O1324" s="111"/>
      <c r="P1324" s="111"/>
      <c r="Q1324" s="111"/>
      <c r="R1324" s="111"/>
      <c r="S1324" s="111"/>
      <c r="T1324" s="111"/>
      <c r="U1324" s="111"/>
      <c r="V1324" s="111"/>
      <c r="W1324" s="111"/>
      <c r="X1324" s="111"/>
      <c r="Y1324" s="111"/>
      <c r="Z1324" s="111"/>
      <c r="AA1324" s="111"/>
      <c r="AB1324" s="111"/>
      <c r="AC1324" s="111"/>
      <c r="AD1324" s="111"/>
      <c r="AE1324" s="111"/>
      <c r="AF1324" s="111"/>
      <c r="AG1324" s="111"/>
      <c r="AH1324" s="111"/>
      <c r="AI1324" s="111"/>
    </row>
    <row r="1325" spans="1:35" ht="18.75" customHeight="1">
      <c r="A1325" s="168"/>
      <c r="B1325" s="168"/>
      <c r="C1325" s="168"/>
      <c r="D1325" s="111"/>
      <c r="E1325" s="111"/>
      <c r="F1325" s="111"/>
      <c r="G1325" s="111"/>
      <c r="H1325" s="111"/>
      <c r="I1325" s="111"/>
      <c r="J1325" s="111"/>
      <c r="K1325" s="111"/>
      <c r="L1325" s="111"/>
      <c r="M1325" s="111"/>
      <c r="N1325" s="111"/>
      <c r="O1325" s="111"/>
      <c r="P1325" s="111"/>
      <c r="Q1325" s="111"/>
      <c r="R1325" s="111"/>
      <c r="S1325" s="111"/>
      <c r="T1325" s="111"/>
      <c r="U1325" s="111"/>
      <c r="V1325" s="111"/>
      <c r="W1325" s="111"/>
      <c r="X1325" s="111"/>
      <c r="Y1325" s="111"/>
      <c r="Z1325" s="111"/>
      <c r="AA1325" s="111"/>
      <c r="AB1325" s="111"/>
      <c r="AC1325" s="111"/>
      <c r="AD1325" s="111"/>
      <c r="AE1325" s="111"/>
      <c r="AF1325" s="111"/>
      <c r="AG1325" s="111"/>
      <c r="AH1325" s="111"/>
      <c r="AI1325" s="111"/>
    </row>
    <row r="1326" spans="1:35" ht="18.75" customHeight="1">
      <c r="A1326" s="168"/>
      <c r="B1326" s="168"/>
      <c r="C1326" s="168"/>
      <c r="D1326" s="111"/>
      <c r="E1326" s="111"/>
      <c r="F1326" s="111"/>
      <c r="G1326" s="111"/>
      <c r="H1326" s="111"/>
      <c r="I1326" s="111"/>
      <c r="J1326" s="111"/>
      <c r="K1326" s="111"/>
      <c r="L1326" s="111"/>
      <c r="M1326" s="111"/>
      <c r="N1326" s="111"/>
      <c r="O1326" s="111"/>
      <c r="P1326" s="111"/>
      <c r="Q1326" s="111"/>
      <c r="R1326" s="111"/>
      <c r="S1326" s="111"/>
      <c r="T1326" s="111"/>
      <c r="U1326" s="111"/>
      <c r="V1326" s="111"/>
      <c r="W1326" s="111"/>
      <c r="X1326" s="111"/>
      <c r="Y1326" s="111"/>
      <c r="Z1326" s="111"/>
      <c r="AA1326" s="111"/>
      <c r="AB1326" s="111"/>
      <c r="AC1326" s="111"/>
      <c r="AD1326" s="111"/>
      <c r="AE1326" s="111"/>
      <c r="AF1326" s="111"/>
      <c r="AG1326" s="111"/>
      <c r="AH1326" s="111"/>
      <c r="AI1326" s="111"/>
    </row>
    <row r="1327" spans="1:35" ht="18.75" customHeight="1">
      <c r="A1327" s="168"/>
      <c r="B1327" s="168"/>
      <c r="C1327" s="168"/>
      <c r="D1327" s="111"/>
      <c r="E1327" s="111"/>
      <c r="F1327" s="111"/>
      <c r="G1327" s="111"/>
      <c r="H1327" s="111"/>
      <c r="I1327" s="111"/>
      <c r="J1327" s="111"/>
      <c r="K1327" s="111"/>
      <c r="L1327" s="111"/>
      <c r="M1327" s="111"/>
      <c r="N1327" s="111"/>
      <c r="O1327" s="111"/>
      <c r="P1327" s="111"/>
      <c r="Q1327" s="111"/>
      <c r="R1327" s="111"/>
      <c r="S1327" s="111"/>
      <c r="T1327" s="111"/>
      <c r="U1327" s="111"/>
      <c r="V1327" s="111"/>
      <c r="W1327" s="111"/>
      <c r="X1327" s="111"/>
      <c r="Y1327" s="111"/>
      <c r="Z1327" s="111"/>
      <c r="AA1327" s="111"/>
      <c r="AB1327" s="111"/>
      <c r="AC1327" s="111"/>
      <c r="AD1327" s="111"/>
      <c r="AE1327" s="111"/>
      <c r="AF1327" s="111"/>
      <c r="AG1327" s="111"/>
      <c r="AH1327" s="111"/>
      <c r="AI1327" s="111"/>
    </row>
    <row r="1328" spans="1:35" ht="18.75" customHeight="1">
      <c r="A1328" s="168"/>
      <c r="B1328" s="168"/>
      <c r="C1328" s="168"/>
      <c r="D1328" s="111"/>
      <c r="E1328" s="111"/>
      <c r="F1328" s="111"/>
      <c r="G1328" s="111"/>
      <c r="H1328" s="111"/>
      <c r="I1328" s="111"/>
      <c r="J1328" s="111"/>
      <c r="K1328" s="111"/>
      <c r="L1328" s="111"/>
      <c r="M1328" s="111"/>
      <c r="N1328" s="111"/>
      <c r="O1328" s="111"/>
      <c r="P1328" s="111"/>
      <c r="Q1328" s="111"/>
      <c r="R1328" s="111"/>
      <c r="S1328" s="111"/>
      <c r="T1328" s="111"/>
      <c r="U1328" s="111"/>
      <c r="V1328" s="111"/>
      <c r="W1328" s="111"/>
      <c r="X1328" s="111"/>
      <c r="Y1328" s="111"/>
      <c r="Z1328" s="111"/>
      <c r="AA1328" s="111"/>
      <c r="AB1328" s="111"/>
      <c r="AC1328" s="111"/>
      <c r="AD1328" s="111"/>
      <c r="AE1328" s="111"/>
      <c r="AF1328" s="111"/>
      <c r="AG1328" s="111"/>
      <c r="AH1328" s="111"/>
      <c r="AI1328" s="111"/>
    </row>
    <row r="1329" spans="1:35" ht="18.75" customHeight="1">
      <c r="A1329" s="168"/>
      <c r="B1329" s="168"/>
      <c r="C1329" s="168"/>
      <c r="D1329" s="111"/>
      <c r="E1329" s="111"/>
      <c r="F1329" s="111"/>
      <c r="G1329" s="111"/>
      <c r="H1329" s="111"/>
      <c r="I1329" s="111"/>
      <c r="J1329" s="111"/>
      <c r="K1329" s="111"/>
      <c r="L1329" s="111"/>
      <c r="M1329" s="111"/>
      <c r="N1329" s="111"/>
      <c r="O1329" s="111"/>
      <c r="P1329" s="111"/>
      <c r="Q1329" s="111"/>
      <c r="R1329" s="111"/>
      <c r="S1329" s="111"/>
      <c r="T1329" s="111"/>
      <c r="U1329" s="111"/>
      <c r="V1329" s="111"/>
      <c r="W1329" s="111"/>
      <c r="X1329" s="111"/>
      <c r="Y1329" s="111"/>
      <c r="Z1329" s="111"/>
      <c r="AA1329" s="111"/>
      <c r="AB1329" s="111"/>
      <c r="AC1329" s="111"/>
      <c r="AD1329" s="111"/>
      <c r="AE1329" s="111"/>
      <c r="AF1329" s="111"/>
      <c r="AG1329" s="111"/>
      <c r="AH1329" s="111"/>
      <c r="AI1329" s="111"/>
    </row>
    <row r="1330" spans="1:35" ht="18.75" customHeight="1">
      <c r="A1330" s="168"/>
      <c r="B1330" s="168"/>
      <c r="C1330" s="168"/>
      <c r="D1330" s="111"/>
      <c r="E1330" s="111"/>
      <c r="F1330" s="111"/>
      <c r="G1330" s="111"/>
      <c r="H1330" s="111"/>
      <c r="I1330" s="111"/>
      <c r="J1330" s="111"/>
      <c r="K1330" s="111"/>
      <c r="L1330" s="111"/>
      <c r="M1330" s="111"/>
      <c r="N1330" s="111"/>
      <c r="O1330" s="111"/>
      <c r="P1330" s="111"/>
      <c r="Q1330" s="111"/>
      <c r="R1330" s="111"/>
      <c r="S1330" s="111"/>
      <c r="T1330" s="111"/>
      <c r="U1330" s="111"/>
      <c r="V1330" s="111"/>
      <c r="W1330" s="111"/>
      <c r="X1330" s="111"/>
      <c r="Y1330" s="111"/>
      <c r="Z1330" s="111"/>
      <c r="AA1330" s="111"/>
      <c r="AB1330" s="111"/>
      <c r="AC1330" s="111"/>
      <c r="AD1330" s="111"/>
      <c r="AE1330" s="111"/>
      <c r="AF1330" s="111"/>
      <c r="AG1330" s="111"/>
      <c r="AH1330" s="111"/>
      <c r="AI1330" s="111"/>
    </row>
    <row r="1331" spans="1:35" ht="18.75" customHeight="1">
      <c r="A1331" s="168"/>
      <c r="B1331" s="168"/>
      <c r="C1331" s="168"/>
      <c r="D1331" s="111"/>
      <c r="E1331" s="111"/>
      <c r="F1331" s="111"/>
      <c r="G1331" s="111"/>
      <c r="H1331" s="111"/>
      <c r="I1331" s="111"/>
      <c r="J1331" s="111"/>
      <c r="K1331" s="111"/>
      <c r="L1331" s="111"/>
      <c r="M1331" s="111"/>
      <c r="N1331" s="111"/>
      <c r="O1331" s="111"/>
      <c r="P1331" s="111"/>
      <c r="Q1331" s="111"/>
      <c r="R1331" s="111"/>
      <c r="S1331" s="111"/>
      <c r="T1331" s="111"/>
      <c r="U1331" s="111"/>
      <c r="V1331" s="111"/>
      <c r="W1331" s="111"/>
      <c r="X1331" s="111"/>
      <c r="Y1331" s="111"/>
      <c r="Z1331" s="111"/>
      <c r="AA1331" s="111"/>
      <c r="AB1331" s="111"/>
      <c r="AC1331" s="111"/>
      <c r="AD1331" s="111"/>
      <c r="AE1331" s="111"/>
      <c r="AF1331" s="111"/>
      <c r="AG1331" s="111"/>
      <c r="AH1331" s="111"/>
      <c r="AI1331" s="111"/>
    </row>
    <row r="1332" spans="1:35" ht="18.75" customHeight="1">
      <c r="A1332" s="168"/>
      <c r="B1332" s="168"/>
      <c r="C1332" s="168"/>
      <c r="D1332" s="111"/>
      <c r="E1332" s="111"/>
      <c r="F1332" s="111"/>
      <c r="G1332" s="111"/>
      <c r="H1332" s="111"/>
      <c r="I1332" s="111"/>
      <c r="J1332" s="111"/>
      <c r="K1332" s="111"/>
      <c r="L1332" s="111"/>
      <c r="M1332" s="111"/>
      <c r="N1332" s="111"/>
      <c r="O1332" s="111"/>
      <c r="P1332" s="111"/>
      <c r="Q1332" s="111"/>
      <c r="R1332" s="111"/>
      <c r="S1332" s="111"/>
      <c r="T1332" s="111"/>
      <c r="U1332" s="111"/>
      <c r="V1332" s="111"/>
      <c r="W1332" s="111"/>
      <c r="X1332" s="111"/>
      <c r="Y1332" s="111"/>
      <c r="Z1332" s="111"/>
      <c r="AA1332" s="111"/>
      <c r="AB1332" s="111"/>
      <c r="AC1332" s="111"/>
      <c r="AD1332" s="111"/>
      <c r="AE1332" s="111"/>
      <c r="AF1332" s="111"/>
      <c r="AG1332" s="111"/>
      <c r="AH1332" s="111"/>
      <c r="AI1332" s="111"/>
    </row>
    <row r="1333" spans="1:35" ht="18.75" customHeight="1">
      <c r="A1333" s="168"/>
      <c r="B1333" s="168"/>
      <c r="C1333" s="168"/>
      <c r="D1333" s="111"/>
      <c r="E1333" s="111"/>
      <c r="F1333" s="111"/>
      <c r="G1333" s="111"/>
      <c r="H1333" s="111"/>
      <c r="I1333" s="111"/>
      <c r="J1333" s="111"/>
      <c r="K1333" s="111"/>
      <c r="L1333" s="111"/>
      <c r="M1333" s="111"/>
      <c r="N1333" s="111"/>
      <c r="O1333" s="111"/>
      <c r="P1333" s="111"/>
      <c r="Q1333" s="111"/>
      <c r="R1333" s="111"/>
      <c r="S1333" s="111"/>
      <c r="T1333" s="111"/>
      <c r="U1333" s="111"/>
      <c r="V1333" s="111"/>
      <c r="W1333" s="111"/>
      <c r="X1333" s="111"/>
      <c r="Y1333" s="111"/>
      <c r="Z1333" s="111"/>
      <c r="AA1333" s="111"/>
      <c r="AB1333" s="111"/>
      <c r="AC1333" s="111"/>
      <c r="AD1333" s="111"/>
      <c r="AE1333" s="111"/>
      <c r="AF1333" s="111"/>
      <c r="AG1333" s="111"/>
      <c r="AH1333" s="111"/>
      <c r="AI1333" s="111"/>
    </row>
    <row r="1334" spans="1:35" ht="18.75" customHeight="1">
      <c r="A1334" s="168"/>
      <c r="B1334" s="168"/>
      <c r="C1334" s="168"/>
      <c r="D1334" s="111"/>
      <c r="E1334" s="111"/>
      <c r="F1334" s="111"/>
      <c r="G1334" s="111"/>
      <c r="H1334" s="111"/>
      <c r="I1334" s="111"/>
      <c r="J1334" s="111"/>
      <c r="K1334" s="111"/>
      <c r="L1334" s="111"/>
      <c r="M1334" s="111"/>
      <c r="N1334" s="111"/>
      <c r="O1334" s="111"/>
      <c r="P1334" s="111"/>
      <c r="Q1334" s="111"/>
      <c r="R1334" s="111"/>
      <c r="S1334" s="111"/>
      <c r="T1334" s="111"/>
      <c r="U1334" s="111"/>
      <c r="V1334" s="111"/>
      <c r="W1334" s="111"/>
      <c r="X1334" s="111"/>
      <c r="Y1334" s="111"/>
      <c r="Z1334" s="111"/>
      <c r="AA1334" s="111"/>
      <c r="AB1334" s="111"/>
      <c r="AC1334" s="111"/>
      <c r="AD1334" s="111"/>
      <c r="AE1334" s="111"/>
      <c r="AF1334" s="111"/>
      <c r="AG1334" s="111"/>
      <c r="AH1334" s="111"/>
      <c r="AI1334" s="111"/>
    </row>
    <row r="1335" spans="1:35" ht="18.75" customHeight="1">
      <c r="A1335" s="168"/>
      <c r="B1335" s="168"/>
      <c r="C1335" s="168"/>
      <c r="D1335" s="111"/>
      <c r="E1335" s="111"/>
      <c r="F1335" s="111"/>
      <c r="G1335" s="111"/>
      <c r="H1335" s="111"/>
      <c r="I1335" s="111"/>
      <c r="J1335" s="111"/>
      <c r="K1335" s="111"/>
      <c r="L1335" s="111"/>
      <c r="M1335" s="111"/>
      <c r="N1335" s="111"/>
      <c r="O1335" s="111"/>
      <c r="P1335" s="111"/>
      <c r="Q1335" s="111"/>
      <c r="R1335" s="111"/>
      <c r="S1335" s="111"/>
      <c r="T1335" s="111"/>
      <c r="U1335" s="111"/>
      <c r="V1335" s="111"/>
      <c r="W1335" s="111"/>
      <c r="X1335" s="111"/>
      <c r="Y1335" s="111"/>
      <c r="Z1335" s="111"/>
      <c r="AA1335" s="111"/>
      <c r="AB1335" s="111"/>
      <c r="AC1335" s="111"/>
      <c r="AD1335" s="111"/>
      <c r="AE1335" s="111"/>
      <c r="AF1335" s="111"/>
      <c r="AG1335" s="111"/>
      <c r="AH1335" s="111"/>
      <c r="AI1335" s="111"/>
    </row>
    <row r="1336" spans="1:35" ht="18.75" customHeight="1">
      <c r="A1336" s="168"/>
      <c r="B1336" s="168"/>
      <c r="C1336" s="168"/>
      <c r="D1336" s="111"/>
      <c r="E1336" s="111"/>
      <c r="F1336" s="111"/>
      <c r="G1336" s="111"/>
      <c r="H1336" s="111"/>
      <c r="I1336" s="111"/>
      <c r="J1336" s="111"/>
      <c r="K1336" s="111"/>
      <c r="L1336" s="111"/>
      <c r="M1336" s="111"/>
      <c r="N1336" s="111"/>
      <c r="O1336" s="111"/>
      <c r="P1336" s="111"/>
      <c r="Q1336" s="111"/>
      <c r="R1336" s="111"/>
      <c r="S1336" s="111"/>
      <c r="T1336" s="111"/>
      <c r="U1336" s="111"/>
      <c r="V1336" s="111"/>
      <c r="W1336" s="111"/>
      <c r="X1336" s="111"/>
      <c r="Y1336" s="111"/>
      <c r="Z1336" s="111"/>
      <c r="AA1336" s="111"/>
      <c r="AB1336" s="111"/>
      <c r="AC1336" s="111"/>
      <c r="AD1336" s="111"/>
      <c r="AE1336" s="111"/>
      <c r="AF1336" s="111"/>
      <c r="AG1336" s="111"/>
      <c r="AH1336" s="111"/>
      <c r="AI1336" s="111"/>
    </row>
    <row r="1337" spans="1:35" ht="18.75" customHeight="1">
      <c r="A1337" s="168"/>
      <c r="B1337" s="168"/>
      <c r="C1337" s="168"/>
      <c r="D1337" s="111"/>
      <c r="E1337" s="111"/>
      <c r="F1337" s="111"/>
      <c r="G1337" s="111"/>
      <c r="H1337" s="111"/>
      <c r="I1337" s="111"/>
      <c r="J1337" s="111"/>
      <c r="K1337" s="111"/>
      <c r="L1337" s="111"/>
      <c r="M1337" s="111"/>
      <c r="N1337" s="111"/>
      <c r="O1337" s="111"/>
      <c r="P1337" s="111"/>
      <c r="Q1337" s="111"/>
      <c r="R1337" s="111"/>
      <c r="S1337" s="111"/>
      <c r="T1337" s="111"/>
      <c r="U1337" s="111"/>
      <c r="V1337" s="111"/>
      <c r="W1337" s="111"/>
      <c r="X1337" s="111"/>
      <c r="Y1337" s="111"/>
      <c r="Z1337" s="111"/>
      <c r="AA1337" s="111"/>
      <c r="AB1337" s="111"/>
      <c r="AC1337" s="111"/>
      <c r="AD1337" s="111"/>
      <c r="AE1337" s="111"/>
      <c r="AF1337" s="111"/>
      <c r="AG1337" s="111"/>
      <c r="AH1337" s="111"/>
      <c r="AI1337" s="111"/>
    </row>
    <row r="1338" spans="1:35" ht="18.75" customHeight="1">
      <c r="A1338" s="168"/>
      <c r="B1338" s="168"/>
      <c r="C1338" s="168"/>
      <c r="D1338" s="111"/>
      <c r="E1338" s="111"/>
      <c r="F1338" s="111"/>
      <c r="G1338" s="111"/>
      <c r="H1338" s="111"/>
      <c r="I1338" s="111"/>
      <c r="J1338" s="111"/>
      <c r="K1338" s="111"/>
      <c r="L1338" s="111"/>
      <c r="M1338" s="111"/>
      <c r="N1338" s="111"/>
      <c r="O1338" s="111"/>
      <c r="P1338" s="111"/>
      <c r="Q1338" s="111"/>
      <c r="R1338" s="111"/>
      <c r="S1338" s="111"/>
      <c r="T1338" s="111"/>
      <c r="U1338" s="111"/>
      <c r="V1338" s="111"/>
      <c r="W1338" s="111"/>
      <c r="X1338" s="111"/>
      <c r="Y1338" s="111"/>
      <c r="Z1338" s="111"/>
      <c r="AA1338" s="111"/>
      <c r="AB1338" s="111"/>
      <c r="AC1338" s="111"/>
      <c r="AD1338" s="111"/>
      <c r="AE1338" s="111"/>
      <c r="AF1338" s="111"/>
      <c r="AG1338" s="111"/>
      <c r="AH1338" s="111"/>
      <c r="AI1338" s="111"/>
    </row>
    <row r="1339" spans="1:35" ht="18.75" customHeight="1">
      <c r="A1339" s="168"/>
      <c r="B1339" s="168"/>
      <c r="C1339" s="168"/>
      <c r="D1339" s="111"/>
      <c r="E1339" s="111"/>
      <c r="F1339" s="111"/>
      <c r="G1339" s="111"/>
      <c r="H1339" s="111"/>
      <c r="I1339" s="111"/>
      <c r="J1339" s="111"/>
      <c r="K1339" s="111"/>
      <c r="L1339" s="111"/>
      <c r="M1339" s="111"/>
      <c r="N1339" s="111"/>
      <c r="O1339" s="111"/>
      <c r="P1339" s="111"/>
      <c r="Q1339" s="111"/>
      <c r="R1339" s="111"/>
      <c r="S1339" s="111"/>
      <c r="T1339" s="111"/>
      <c r="U1339" s="111"/>
      <c r="V1339" s="111"/>
      <c r="W1339" s="111"/>
      <c r="X1339" s="111"/>
      <c r="Y1339" s="111"/>
      <c r="Z1339" s="111"/>
      <c r="AA1339" s="111"/>
      <c r="AB1339" s="111"/>
      <c r="AC1339" s="111"/>
      <c r="AD1339" s="111"/>
      <c r="AE1339" s="111"/>
      <c r="AF1339" s="111"/>
      <c r="AG1339" s="111"/>
      <c r="AH1339" s="111"/>
      <c r="AI1339" s="111"/>
    </row>
    <row r="1340" spans="1:35" ht="18.75" customHeight="1">
      <c r="A1340" s="168"/>
      <c r="B1340" s="168"/>
      <c r="C1340" s="168"/>
      <c r="D1340" s="111"/>
      <c r="E1340" s="111"/>
      <c r="F1340" s="111"/>
      <c r="G1340" s="111"/>
      <c r="H1340" s="111"/>
      <c r="I1340" s="111"/>
      <c r="J1340" s="111"/>
      <c r="K1340" s="111"/>
      <c r="L1340" s="111"/>
      <c r="M1340" s="111"/>
      <c r="N1340" s="111"/>
      <c r="O1340" s="111"/>
      <c r="P1340" s="111"/>
      <c r="Q1340" s="111"/>
      <c r="R1340" s="111"/>
      <c r="S1340" s="111"/>
      <c r="T1340" s="111"/>
      <c r="U1340" s="111"/>
      <c r="V1340" s="111"/>
      <c r="W1340" s="111"/>
      <c r="X1340" s="111"/>
      <c r="Y1340" s="111"/>
      <c r="Z1340" s="111"/>
      <c r="AA1340" s="111"/>
      <c r="AB1340" s="111"/>
      <c r="AC1340" s="111"/>
      <c r="AD1340" s="111"/>
      <c r="AE1340" s="111"/>
      <c r="AF1340" s="111"/>
      <c r="AG1340" s="111"/>
      <c r="AH1340" s="111"/>
      <c r="AI1340" s="111"/>
    </row>
    <row r="1341" spans="1:35" ht="18.75" customHeight="1">
      <c r="A1341" s="168"/>
      <c r="B1341" s="168"/>
      <c r="C1341" s="168"/>
      <c r="D1341" s="111"/>
      <c r="E1341" s="111"/>
      <c r="F1341" s="111"/>
      <c r="G1341" s="111"/>
      <c r="H1341" s="111"/>
      <c r="I1341" s="111"/>
      <c r="J1341" s="111"/>
      <c r="K1341" s="111"/>
      <c r="L1341" s="111"/>
      <c r="M1341" s="111"/>
      <c r="N1341" s="111"/>
      <c r="O1341" s="111"/>
      <c r="P1341" s="111"/>
      <c r="Q1341" s="111"/>
      <c r="R1341" s="111"/>
      <c r="S1341" s="111"/>
      <c r="T1341" s="111"/>
      <c r="U1341" s="111"/>
      <c r="V1341" s="111"/>
      <c r="W1341" s="111"/>
      <c r="X1341" s="111"/>
      <c r="Y1341" s="111"/>
      <c r="Z1341" s="111"/>
      <c r="AA1341" s="111"/>
      <c r="AB1341" s="111"/>
      <c r="AC1341" s="111"/>
      <c r="AD1341" s="111"/>
      <c r="AE1341" s="111"/>
      <c r="AF1341" s="111"/>
      <c r="AG1341" s="111"/>
      <c r="AH1341" s="111"/>
      <c r="AI1341" s="111"/>
    </row>
    <row r="1342" spans="1:35" ht="18.75" customHeight="1">
      <c r="A1342" s="168"/>
      <c r="B1342" s="168"/>
      <c r="C1342" s="168"/>
      <c r="D1342" s="111"/>
      <c r="E1342" s="111"/>
      <c r="F1342" s="111"/>
      <c r="G1342" s="111"/>
      <c r="H1342" s="111"/>
      <c r="I1342" s="111"/>
      <c r="J1342" s="111"/>
      <c r="K1342" s="111"/>
      <c r="L1342" s="111"/>
      <c r="M1342" s="111"/>
      <c r="N1342" s="111"/>
      <c r="O1342" s="111"/>
      <c r="P1342" s="111"/>
      <c r="Q1342" s="111"/>
      <c r="R1342" s="111"/>
      <c r="S1342" s="111"/>
      <c r="T1342" s="111"/>
      <c r="U1342" s="111"/>
      <c r="V1342" s="111"/>
      <c r="W1342" s="111"/>
      <c r="X1342" s="111"/>
      <c r="Y1342" s="111"/>
      <c r="Z1342" s="111"/>
      <c r="AA1342" s="111"/>
      <c r="AB1342" s="111"/>
      <c r="AC1342" s="111"/>
      <c r="AD1342" s="111"/>
      <c r="AE1342" s="111"/>
      <c r="AF1342" s="111"/>
      <c r="AG1342" s="111"/>
      <c r="AH1342" s="111"/>
      <c r="AI1342" s="111"/>
    </row>
    <row r="1343" spans="1:35" ht="18.75" customHeight="1">
      <c r="A1343" s="168"/>
      <c r="B1343" s="168"/>
      <c r="C1343" s="168"/>
      <c r="D1343" s="111"/>
      <c r="E1343" s="111"/>
      <c r="F1343" s="111"/>
      <c r="G1343" s="111"/>
      <c r="H1343" s="111"/>
      <c r="I1343" s="111"/>
      <c r="J1343" s="111"/>
      <c r="K1343" s="111"/>
      <c r="L1343" s="111"/>
      <c r="M1343" s="111"/>
      <c r="N1343" s="111"/>
      <c r="O1343" s="111"/>
      <c r="P1343" s="111"/>
      <c r="Q1343" s="111"/>
      <c r="R1343" s="111"/>
      <c r="S1343" s="111"/>
      <c r="T1343" s="111"/>
      <c r="U1343" s="111"/>
      <c r="V1343" s="111"/>
      <c r="W1343" s="111"/>
      <c r="X1343" s="111"/>
      <c r="Y1343" s="111"/>
      <c r="Z1343" s="111"/>
      <c r="AA1343" s="111"/>
      <c r="AB1343" s="111"/>
      <c r="AC1343" s="111"/>
      <c r="AD1343" s="111"/>
      <c r="AE1343" s="111"/>
      <c r="AF1343" s="111"/>
      <c r="AG1343" s="111"/>
      <c r="AH1343" s="111"/>
      <c r="AI1343" s="111"/>
    </row>
    <row r="1344" spans="1:35" ht="18.75" customHeight="1">
      <c r="A1344" s="168"/>
      <c r="B1344" s="168"/>
      <c r="C1344" s="168"/>
      <c r="D1344" s="111"/>
      <c r="E1344" s="111"/>
      <c r="F1344" s="111"/>
      <c r="G1344" s="111"/>
      <c r="H1344" s="111"/>
      <c r="I1344" s="111"/>
      <c r="J1344" s="111"/>
      <c r="K1344" s="111"/>
      <c r="L1344" s="111"/>
      <c r="M1344" s="111"/>
      <c r="N1344" s="111"/>
      <c r="O1344" s="111"/>
      <c r="P1344" s="111"/>
      <c r="Q1344" s="111"/>
      <c r="R1344" s="111"/>
      <c r="S1344" s="111"/>
      <c r="T1344" s="111"/>
      <c r="U1344" s="111"/>
      <c r="V1344" s="111"/>
      <c r="W1344" s="111"/>
      <c r="X1344" s="111"/>
      <c r="Y1344" s="111"/>
      <c r="Z1344" s="111"/>
      <c r="AA1344" s="111"/>
      <c r="AB1344" s="111"/>
      <c r="AC1344" s="111"/>
      <c r="AD1344" s="111"/>
      <c r="AE1344" s="111"/>
      <c r="AF1344" s="111"/>
      <c r="AG1344" s="111"/>
      <c r="AH1344" s="111"/>
      <c r="AI1344" s="111"/>
    </row>
    <row r="1345" spans="1:35" ht="18.75" customHeight="1">
      <c r="A1345" s="168"/>
      <c r="B1345" s="168"/>
      <c r="C1345" s="168"/>
      <c r="D1345" s="111"/>
      <c r="E1345" s="111"/>
      <c r="F1345" s="111"/>
      <c r="G1345" s="111"/>
      <c r="H1345" s="111"/>
      <c r="I1345" s="111"/>
      <c r="J1345" s="111"/>
      <c r="K1345" s="111"/>
      <c r="L1345" s="111"/>
      <c r="M1345" s="111"/>
      <c r="N1345" s="111"/>
      <c r="O1345" s="111"/>
      <c r="P1345" s="111"/>
      <c r="Q1345" s="111"/>
      <c r="R1345" s="111"/>
      <c r="S1345" s="111"/>
      <c r="T1345" s="111"/>
      <c r="U1345" s="111"/>
      <c r="V1345" s="111"/>
      <c r="W1345" s="111"/>
      <c r="X1345" s="111"/>
      <c r="Y1345" s="111"/>
      <c r="Z1345" s="111"/>
      <c r="AA1345" s="111"/>
      <c r="AB1345" s="111"/>
      <c r="AC1345" s="111"/>
      <c r="AD1345" s="111"/>
      <c r="AE1345" s="111"/>
      <c r="AF1345" s="111"/>
      <c r="AG1345" s="111"/>
      <c r="AH1345" s="111"/>
      <c r="AI1345" s="111"/>
    </row>
    <row r="1346" spans="1:35" ht="18.75" customHeight="1">
      <c r="A1346" s="168"/>
      <c r="B1346" s="168"/>
      <c r="C1346" s="168"/>
      <c r="D1346" s="111"/>
      <c r="E1346" s="111"/>
      <c r="F1346" s="111"/>
      <c r="G1346" s="111"/>
      <c r="H1346" s="111"/>
      <c r="I1346" s="111"/>
      <c r="J1346" s="111"/>
      <c r="K1346" s="111"/>
      <c r="L1346" s="111"/>
      <c r="M1346" s="111"/>
      <c r="N1346" s="111"/>
      <c r="O1346" s="111"/>
      <c r="P1346" s="111"/>
      <c r="Q1346" s="111"/>
      <c r="R1346" s="111"/>
      <c r="S1346" s="111"/>
      <c r="T1346" s="111"/>
      <c r="U1346" s="111"/>
      <c r="V1346" s="111"/>
      <c r="W1346" s="111"/>
      <c r="X1346" s="111"/>
      <c r="Y1346" s="111"/>
      <c r="Z1346" s="111"/>
      <c r="AA1346" s="111"/>
      <c r="AB1346" s="111"/>
      <c r="AC1346" s="111"/>
      <c r="AD1346" s="111"/>
      <c r="AE1346" s="111"/>
      <c r="AF1346" s="111"/>
      <c r="AG1346" s="111"/>
      <c r="AH1346" s="111"/>
      <c r="AI1346" s="111"/>
    </row>
    <row r="1347" spans="1:35" ht="18.75" customHeight="1">
      <c r="A1347" s="168"/>
      <c r="B1347" s="168"/>
      <c r="C1347" s="168"/>
      <c r="D1347" s="111"/>
      <c r="E1347" s="111"/>
      <c r="F1347" s="111"/>
      <c r="G1347" s="111"/>
      <c r="H1347" s="111"/>
      <c r="I1347" s="111"/>
      <c r="J1347" s="111"/>
      <c r="K1347" s="111"/>
      <c r="L1347" s="111"/>
      <c r="M1347" s="111"/>
      <c r="N1347" s="111"/>
      <c r="O1347" s="111"/>
      <c r="P1347" s="111"/>
      <c r="Q1347" s="111"/>
      <c r="R1347" s="111"/>
      <c r="S1347" s="111"/>
      <c r="T1347" s="111"/>
      <c r="U1347" s="111"/>
      <c r="V1347" s="111"/>
      <c r="W1347" s="111"/>
      <c r="X1347" s="111"/>
      <c r="Y1347" s="111"/>
      <c r="Z1347" s="111"/>
      <c r="AA1347" s="111"/>
      <c r="AB1347" s="111"/>
      <c r="AC1347" s="111"/>
      <c r="AD1347" s="111"/>
      <c r="AE1347" s="111"/>
      <c r="AF1347" s="111"/>
      <c r="AG1347" s="111"/>
      <c r="AH1347" s="111"/>
      <c r="AI1347" s="111"/>
    </row>
    <row r="1348" spans="1:35" ht="18.75" customHeight="1">
      <c r="A1348" s="168"/>
      <c r="B1348" s="168"/>
      <c r="C1348" s="168"/>
      <c r="D1348" s="111"/>
      <c r="E1348" s="111"/>
      <c r="F1348" s="111"/>
      <c r="G1348" s="111"/>
      <c r="H1348" s="111"/>
      <c r="I1348" s="111"/>
      <c r="J1348" s="111"/>
      <c r="K1348" s="111"/>
      <c r="L1348" s="111"/>
      <c r="M1348" s="111"/>
      <c r="N1348" s="111"/>
      <c r="O1348" s="111"/>
      <c r="P1348" s="111"/>
      <c r="Q1348" s="111"/>
      <c r="R1348" s="111"/>
      <c r="S1348" s="111"/>
      <c r="T1348" s="111"/>
      <c r="U1348" s="111"/>
      <c r="V1348" s="111"/>
      <c r="W1348" s="111"/>
      <c r="X1348" s="111"/>
      <c r="Y1348" s="111"/>
      <c r="Z1348" s="111"/>
      <c r="AA1348" s="111"/>
      <c r="AB1348" s="111"/>
      <c r="AC1348" s="111"/>
      <c r="AD1348" s="111"/>
      <c r="AE1348" s="111"/>
      <c r="AF1348" s="111"/>
      <c r="AG1348" s="111"/>
      <c r="AH1348" s="111"/>
      <c r="AI1348" s="111"/>
    </row>
    <row r="1349" spans="1:35" ht="18.75" customHeight="1">
      <c r="A1349" s="168"/>
      <c r="B1349" s="168"/>
      <c r="C1349" s="168"/>
      <c r="D1349" s="111"/>
      <c r="E1349" s="111"/>
      <c r="F1349" s="111"/>
      <c r="G1349" s="111"/>
      <c r="H1349" s="111"/>
      <c r="I1349" s="111"/>
      <c r="J1349" s="111"/>
      <c r="K1349" s="111"/>
      <c r="L1349" s="111"/>
      <c r="M1349" s="111"/>
      <c r="N1349" s="111"/>
      <c r="O1349" s="111"/>
      <c r="P1349" s="111"/>
      <c r="Q1349" s="111"/>
      <c r="R1349" s="111"/>
      <c r="S1349" s="111"/>
      <c r="T1349" s="111"/>
      <c r="U1349" s="111"/>
      <c r="V1349" s="111"/>
      <c r="W1349" s="111"/>
      <c r="X1349" s="111"/>
      <c r="Y1349" s="111"/>
      <c r="Z1349" s="111"/>
      <c r="AA1349" s="111"/>
      <c r="AB1349" s="111"/>
      <c r="AC1349" s="111"/>
      <c r="AD1349" s="111"/>
      <c r="AE1349" s="111"/>
      <c r="AF1349" s="111"/>
      <c r="AG1349" s="111"/>
      <c r="AH1349" s="111"/>
      <c r="AI1349" s="111"/>
    </row>
    <row r="1350" spans="1:35" ht="18.75" customHeight="1">
      <c r="A1350" s="168"/>
      <c r="B1350" s="168"/>
      <c r="C1350" s="168"/>
      <c r="D1350" s="111"/>
      <c r="E1350" s="111"/>
      <c r="F1350" s="111"/>
      <c r="G1350" s="111"/>
      <c r="H1350" s="111"/>
      <c r="I1350" s="111"/>
      <c r="J1350" s="111"/>
      <c r="K1350" s="111"/>
      <c r="L1350" s="111"/>
      <c r="M1350" s="111"/>
      <c r="N1350" s="111"/>
      <c r="O1350" s="111"/>
      <c r="P1350" s="111"/>
      <c r="Q1350" s="111"/>
      <c r="R1350" s="111"/>
      <c r="S1350" s="111"/>
      <c r="T1350" s="111"/>
      <c r="U1350" s="111"/>
      <c r="V1350" s="111"/>
      <c r="W1350" s="111"/>
      <c r="X1350" s="111"/>
      <c r="Y1350" s="111"/>
      <c r="Z1350" s="111"/>
      <c r="AA1350" s="111"/>
      <c r="AB1350" s="111"/>
      <c r="AC1350" s="111"/>
      <c r="AD1350" s="111"/>
      <c r="AE1350" s="111"/>
      <c r="AF1350" s="111"/>
      <c r="AG1350" s="111"/>
      <c r="AH1350" s="111"/>
      <c r="AI1350" s="111"/>
    </row>
    <row r="1351" spans="1:35" ht="18.75" customHeight="1">
      <c r="A1351" s="168"/>
      <c r="B1351" s="168"/>
      <c r="C1351" s="168"/>
      <c r="D1351" s="111"/>
      <c r="E1351" s="111"/>
      <c r="F1351" s="111"/>
      <c r="G1351" s="111"/>
      <c r="H1351" s="111"/>
      <c r="I1351" s="111"/>
      <c r="J1351" s="111"/>
      <c r="K1351" s="111"/>
      <c r="L1351" s="111"/>
      <c r="M1351" s="111"/>
      <c r="N1351" s="111"/>
      <c r="O1351" s="111"/>
      <c r="P1351" s="111"/>
      <c r="Q1351" s="111"/>
      <c r="R1351" s="111"/>
      <c r="S1351" s="111"/>
      <c r="T1351" s="111"/>
      <c r="U1351" s="111"/>
      <c r="V1351" s="111"/>
      <c r="W1351" s="111"/>
      <c r="X1351" s="111"/>
      <c r="Y1351" s="111"/>
      <c r="Z1351" s="111"/>
      <c r="AA1351" s="111"/>
      <c r="AB1351" s="111"/>
      <c r="AC1351" s="111"/>
      <c r="AD1351" s="111"/>
      <c r="AE1351" s="111"/>
      <c r="AF1351" s="111"/>
      <c r="AG1351" s="111"/>
      <c r="AH1351" s="111"/>
      <c r="AI1351" s="111"/>
    </row>
    <row r="1352" spans="1:35" ht="18.75" customHeight="1">
      <c r="A1352" s="168"/>
      <c r="B1352" s="168"/>
      <c r="C1352" s="168"/>
      <c r="D1352" s="111"/>
      <c r="E1352" s="111"/>
      <c r="F1352" s="111"/>
      <c r="G1352" s="111"/>
      <c r="H1352" s="111"/>
      <c r="I1352" s="111"/>
      <c r="J1352" s="111"/>
      <c r="K1352" s="111"/>
      <c r="L1352" s="111"/>
      <c r="M1352" s="111"/>
      <c r="N1352" s="111"/>
      <c r="O1352" s="111"/>
      <c r="P1352" s="111"/>
      <c r="Q1352" s="111"/>
      <c r="R1352" s="111"/>
      <c r="S1352" s="111"/>
      <c r="T1352" s="111"/>
      <c r="U1352" s="111"/>
      <c r="V1352" s="111"/>
      <c r="W1352" s="111"/>
      <c r="X1352" s="111"/>
      <c r="Y1352" s="111"/>
      <c r="Z1352" s="111"/>
      <c r="AA1352" s="111"/>
      <c r="AB1352" s="111"/>
      <c r="AC1352" s="111"/>
      <c r="AD1352" s="111"/>
      <c r="AE1352" s="111"/>
      <c r="AF1352" s="111"/>
      <c r="AG1352" s="111"/>
      <c r="AH1352" s="111"/>
      <c r="AI1352" s="111"/>
    </row>
    <row r="1353" spans="1:35" ht="18.75" customHeight="1">
      <c r="A1353" s="168"/>
      <c r="B1353" s="168"/>
      <c r="C1353" s="168"/>
      <c r="D1353" s="111"/>
      <c r="E1353" s="111"/>
      <c r="F1353" s="111"/>
      <c r="G1353" s="111"/>
      <c r="H1353" s="111"/>
      <c r="I1353" s="111"/>
      <c r="J1353" s="111"/>
      <c r="K1353" s="111"/>
      <c r="L1353" s="111"/>
      <c r="M1353" s="111"/>
      <c r="N1353" s="111"/>
      <c r="O1353" s="111"/>
      <c r="P1353" s="111"/>
      <c r="Q1353" s="111"/>
      <c r="R1353" s="111"/>
      <c r="S1353" s="111"/>
      <c r="T1353" s="111"/>
      <c r="U1353" s="111"/>
      <c r="V1353" s="111"/>
      <c r="W1353" s="111"/>
      <c r="X1353" s="111"/>
      <c r="Y1353" s="111"/>
      <c r="Z1353" s="111"/>
      <c r="AA1353" s="111"/>
      <c r="AB1353" s="111"/>
      <c r="AC1353" s="111"/>
      <c r="AD1353" s="111"/>
      <c r="AE1353" s="111"/>
      <c r="AF1353" s="111"/>
      <c r="AG1353" s="111"/>
      <c r="AH1353" s="111"/>
      <c r="AI1353" s="111"/>
    </row>
    <row r="1354" spans="1:35" ht="18.75" customHeight="1">
      <c r="A1354" s="168"/>
      <c r="B1354" s="168"/>
      <c r="C1354" s="168"/>
      <c r="D1354" s="111"/>
      <c r="E1354" s="111"/>
      <c r="F1354" s="111"/>
      <c r="G1354" s="111"/>
      <c r="H1354" s="111"/>
      <c r="I1354" s="111"/>
      <c r="J1354" s="111"/>
      <c r="K1354" s="111"/>
      <c r="L1354" s="111"/>
      <c r="M1354" s="111"/>
      <c r="N1354" s="111"/>
      <c r="O1354" s="111"/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/>
      <c r="AB1354" s="111"/>
      <c r="AC1354" s="111"/>
      <c r="AD1354" s="111"/>
      <c r="AE1354" s="111"/>
      <c r="AF1354" s="111"/>
      <c r="AG1354" s="111"/>
      <c r="AH1354" s="111"/>
      <c r="AI1354" s="111"/>
    </row>
    <row r="1355" spans="1:35" ht="18.75" customHeight="1">
      <c r="A1355" s="168"/>
      <c r="B1355" s="168"/>
      <c r="C1355" s="168"/>
      <c r="D1355" s="111"/>
      <c r="E1355" s="111"/>
      <c r="F1355" s="111"/>
      <c r="G1355" s="111"/>
      <c r="H1355" s="111"/>
      <c r="I1355" s="111"/>
      <c r="J1355" s="111"/>
      <c r="K1355" s="111"/>
      <c r="L1355" s="111"/>
      <c r="M1355" s="111"/>
      <c r="N1355" s="111"/>
      <c r="O1355" s="111"/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/>
      <c r="AB1355" s="111"/>
      <c r="AC1355" s="111"/>
      <c r="AD1355" s="111"/>
      <c r="AE1355" s="111"/>
      <c r="AF1355" s="111"/>
      <c r="AG1355" s="111"/>
      <c r="AH1355" s="111"/>
      <c r="AI1355" s="111"/>
    </row>
    <row r="1356" spans="1:35" ht="18.75" customHeight="1">
      <c r="A1356" s="168"/>
      <c r="B1356" s="168"/>
      <c r="C1356" s="168"/>
      <c r="D1356" s="111"/>
      <c r="E1356" s="111"/>
      <c r="F1356" s="111"/>
      <c r="G1356" s="111"/>
      <c r="H1356" s="111"/>
      <c r="I1356" s="111"/>
      <c r="J1356" s="111"/>
      <c r="K1356" s="111"/>
      <c r="L1356" s="111"/>
      <c r="M1356" s="111"/>
      <c r="N1356" s="111"/>
      <c r="O1356" s="111"/>
      <c r="P1356" s="111"/>
      <c r="Q1356" s="111"/>
      <c r="R1356" s="111"/>
      <c r="S1356" s="111"/>
      <c r="T1356" s="111"/>
      <c r="U1356" s="111"/>
      <c r="V1356" s="111"/>
      <c r="W1356" s="111"/>
      <c r="X1356" s="111"/>
      <c r="Y1356" s="111"/>
      <c r="Z1356" s="111"/>
      <c r="AA1356" s="111"/>
      <c r="AB1356" s="111"/>
      <c r="AC1356" s="111"/>
      <c r="AD1356" s="111"/>
      <c r="AE1356" s="111"/>
      <c r="AF1356" s="111"/>
      <c r="AG1356" s="111"/>
      <c r="AH1356" s="111"/>
      <c r="AI1356" s="111"/>
    </row>
    <row r="1357" spans="1:35" ht="18.75" customHeight="1">
      <c r="A1357" s="168"/>
      <c r="B1357" s="168"/>
      <c r="C1357" s="168"/>
      <c r="D1357" s="111"/>
      <c r="E1357" s="111"/>
      <c r="F1357" s="111"/>
      <c r="G1357" s="111"/>
      <c r="H1357" s="111"/>
      <c r="I1357" s="111"/>
      <c r="J1357" s="111"/>
      <c r="K1357" s="111"/>
      <c r="L1357" s="111"/>
      <c r="M1357" s="111"/>
      <c r="N1357" s="111"/>
      <c r="O1357" s="111"/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/>
      <c r="AB1357" s="111"/>
      <c r="AC1357" s="111"/>
      <c r="AD1357" s="111"/>
      <c r="AE1357" s="111"/>
      <c r="AF1357" s="111"/>
      <c r="AG1357" s="111"/>
      <c r="AH1357" s="111"/>
      <c r="AI1357" s="111"/>
    </row>
    <row r="1358" spans="1:35" ht="18.75" customHeight="1">
      <c r="A1358" s="168"/>
      <c r="B1358" s="168"/>
      <c r="C1358" s="168"/>
      <c r="D1358" s="111"/>
      <c r="E1358" s="111"/>
      <c r="F1358" s="111"/>
      <c r="G1358" s="111"/>
      <c r="H1358" s="111"/>
      <c r="I1358" s="111"/>
      <c r="J1358" s="111"/>
      <c r="K1358" s="111"/>
      <c r="L1358" s="111"/>
      <c r="M1358" s="111"/>
      <c r="N1358" s="111"/>
      <c r="O1358" s="111"/>
      <c r="P1358" s="111"/>
      <c r="Q1358" s="111"/>
      <c r="R1358" s="111"/>
      <c r="S1358" s="111"/>
      <c r="T1358" s="111"/>
      <c r="U1358" s="111"/>
      <c r="V1358" s="111"/>
      <c r="W1358" s="111"/>
      <c r="X1358" s="111"/>
      <c r="Y1358" s="111"/>
      <c r="Z1358" s="111"/>
      <c r="AA1358" s="111"/>
      <c r="AB1358" s="111"/>
      <c r="AC1358" s="111"/>
      <c r="AD1358" s="111"/>
      <c r="AE1358" s="111"/>
      <c r="AF1358" s="111"/>
      <c r="AG1358" s="111"/>
      <c r="AH1358" s="111"/>
      <c r="AI1358" s="111"/>
    </row>
    <row r="1359" spans="1:35" ht="18.75" customHeight="1">
      <c r="A1359" s="168"/>
      <c r="B1359" s="168"/>
      <c r="C1359" s="168"/>
      <c r="D1359" s="111"/>
      <c r="E1359" s="111"/>
      <c r="F1359" s="111"/>
      <c r="G1359" s="111"/>
      <c r="H1359" s="111"/>
      <c r="I1359" s="111"/>
      <c r="J1359" s="111"/>
      <c r="K1359" s="111"/>
      <c r="L1359" s="111"/>
      <c r="M1359" s="111"/>
      <c r="N1359" s="111"/>
      <c r="O1359" s="111"/>
      <c r="P1359" s="111"/>
      <c r="Q1359" s="111"/>
      <c r="R1359" s="111"/>
      <c r="S1359" s="111"/>
      <c r="T1359" s="111"/>
      <c r="U1359" s="111"/>
      <c r="V1359" s="111"/>
      <c r="W1359" s="111"/>
      <c r="X1359" s="111"/>
      <c r="Y1359" s="111"/>
      <c r="Z1359" s="111"/>
      <c r="AA1359" s="111"/>
      <c r="AB1359" s="111"/>
      <c r="AC1359" s="111"/>
      <c r="AD1359" s="111"/>
      <c r="AE1359" s="111"/>
      <c r="AF1359" s="111"/>
      <c r="AG1359" s="111"/>
      <c r="AH1359" s="111"/>
      <c r="AI1359" s="111"/>
    </row>
    <row r="1360" spans="1:35" ht="18.75" customHeight="1">
      <c r="A1360" s="168"/>
      <c r="B1360" s="168"/>
      <c r="C1360" s="168"/>
      <c r="D1360" s="111"/>
      <c r="E1360" s="111"/>
      <c r="F1360" s="111"/>
      <c r="G1360" s="111"/>
      <c r="H1360" s="111"/>
      <c r="I1360" s="111"/>
      <c r="J1360" s="111"/>
      <c r="K1360" s="111"/>
      <c r="L1360" s="111"/>
      <c r="M1360" s="111"/>
      <c r="N1360" s="111"/>
      <c r="O1360" s="111"/>
      <c r="P1360" s="111"/>
      <c r="Q1360" s="111"/>
      <c r="R1360" s="111"/>
      <c r="S1360" s="111"/>
      <c r="T1360" s="111"/>
      <c r="U1360" s="111"/>
      <c r="V1360" s="111"/>
      <c r="W1360" s="111"/>
      <c r="X1360" s="111"/>
      <c r="Y1360" s="111"/>
      <c r="Z1360" s="111"/>
      <c r="AA1360" s="111"/>
      <c r="AB1360" s="111"/>
      <c r="AC1360" s="111"/>
      <c r="AD1360" s="111"/>
      <c r="AE1360" s="111"/>
      <c r="AF1360" s="111"/>
      <c r="AG1360" s="111"/>
      <c r="AH1360" s="111"/>
      <c r="AI1360" s="111"/>
    </row>
    <row r="1361" spans="1:35" ht="18.75" customHeight="1">
      <c r="A1361" s="168"/>
      <c r="B1361" s="168"/>
      <c r="C1361" s="168"/>
      <c r="D1361" s="111"/>
      <c r="E1361" s="111"/>
      <c r="F1361" s="111"/>
      <c r="G1361" s="111"/>
      <c r="H1361" s="111"/>
      <c r="I1361" s="111"/>
      <c r="J1361" s="111"/>
      <c r="K1361" s="111"/>
      <c r="L1361" s="111"/>
      <c r="M1361" s="111"/>
      <c r="N1361" s="111"/>
      <c r="O1361" s="111"/>
      <c r="P1361" s="111"/>
      <c r="Q1361" s="111"/>
      <c r="R1361" s="111"/>
      <c r="S1361" s="111"/>
      <c r="T1361" s="111"/>
      <c r="U1361" s="111"/>
      <c r="V1361" s="111"/>
      <c r="W1361" s="111"/>
      <c r="X1361" s="111"/>
      <c r="Y1361" s="111"/>
      <c r="Z1361" s="111"/>
      <c r="AA1361" s="111"/>
      <c r="AB1361" s="111"/>
      <c r="AC1361" s="111"/>
      <c r="AD1361" s="111"/>
      <c r="AE1361" s="111"/>
      <c r="AF1361" s="111"/>
      <c r="AG1361" s="111"/>
      <c r="AH1361" s="111"/>
      <c r="AI1361" s="111"/>
    </row>
    <row r="1362" spans="1:35" ht="18.75" customHeight="1">
      <c r="A1362" s="168"/>
      <c r="B1362" s="168"/>
      <c r="C1362" s="168"/>
      <c r="D1362" s="111"/>
      <c r="E1362" s="111"/>
      <c r="F1362" s="111"/>
      <c r="G1362" s="111"/>
      <c r="H1362" s="111"/>
      <c r="I1362" s="111"/>
      <c r="J1362" s="111"/>
      <c r="K1362" s="111"/>
      <c r="L1362" s="111"/>
      <c r="M1362" s="111"/>
      <c r="N1362" s="111"/>
      <c r="O1362" s="111"/>
      <c r="P1362" s="111"/>
      <c r="Q1362" s="111"/>
      <c r="R1362" s="111"/>
      <c r="S1362" s="111"/>
      <c r="T1362" s="111"/>
      <c r="U1362" s="111"/>
      <c r="V1362" s="111"/>
      <c r="W1362" s="111"/>
      <c r="X1362" s="111"/>
      <c r="Y1362" s="111"/>
      <c r="Z1362" s="111"/>
      <c r="AA1362" s="111"/>
      <c r="AB1362" s="111"/>
      <c r="AC1362" s="111"/>
      <c r="AD1362" s="111"/>
      <c r="AE1362" s="111"/>
      <c r="AF1362" s="111"/>
      <c r="AG1362" s="111"/>
      <c r="AH1362" s="111"/>
      <c r="AI1362" s="111"/>
    </row>
    <row r="1363" spans="1:35" ht="18.75" customHeight="1">
      <c r="A1363" s="168"/>
      <c r="B1363" s="168"/>
      <c r="C1363" s="168"/>
      <c r="D1363" s="111"/>
      <c r="E1363" s="111"/>
      <c r="F1363" s="111"/>
      <c r="G1363" s="111"/>
      <c r="H1363" s="111"/>
      <c r="I1363" s="111"/>
      <c r="J1363" s="111"/>
      <c r="K1363" s="111"/>
      <c r="L1363" s="111"/>
      <c r="M1363" s="111"/>
      <c r="N1363" s="111"/>
      <c r="O1363" s="111"/>
      <c r="P1363" s="111"/>
      <c r="Q1363" s="111"/>
      <c r="R1363" s="111"/>
      <c r="S1363" s="111"/>
      <c r="T1363" s="111"/>
      <c r="U1363" s="111"/>
      <c r="V1363" s="111"/>
      <c r="W1363" s="111"/>
      <c r="X1363" s="111"/>
      <c r="Y1363" s="111"/>
      <c r="Z1363" s="111"/>
      <c r="AA1363" s="111"/>
      <c r="AB1363" s="111"/>
      <c r="AC1363" s="111"/>
      <c r="AD1363" s="111"/>
      <c r="AE1363" s="111"/>
      <c r="AF1363" s="111"/>
      <c r="AG1363" s="111"/>
      <c r="AH1363" s="111"/>
      <c r="AI1363" s="111"/>
    </row>
    <row r="1364" spans="1:35" ht="18.75" customHeight="1">
      <c r="A1364" s="168"/>
      <c r="B1364" s="168"/>
      <c r="C1364" s="168"/>
      <c r="D1364" s="111"/>
      <c r="E1364" s="111"/>
      <c r="F1364" s="111"/>
      <c r="G1364" s="111"/>
      <c r="H1364" s="111"/>
      <c r="I1364" s="111"/>
      <c r="J1364" s="111"/>
      <c r="K1364" s="111"/>
      <c r="L1364" s="111"/>
      <c r="M1364" s="111"/>
      <c r="N1364" s="111"/>
      <c r="O1364" s="111"/>
      <c r="P1364" s="111"/>
      <c r="Q1364" s="111"/>
      <c r="R1364" s="111"/>
      <c r="S1364" s="111"/>
      <c r="T1364" s="111"/>
      <c r="U1364" s="111"/>
      <c r="V1364" s="111"/>
      <c r="W1364" s="111"/>
      <c r="X1364" s="111"/>
      <c r="Y1364" s="111"/>
      <c r="Z1364" s="111"/>
      <c r="AA1364" s="111"/>
      <c r="AB1364" s="111"/>
      <c r="AC1364" s="111"/>
      <c r="AD1364" s="111"/>
      <c r="AE1364" s="111"/>
      <c r="AF1364" s="111"/>
      <c r="AG1364" s="111"/>
      <c r="AH1364" s="111"/>
      <c r="AI1364" s="111"/>
    </row>
    <row r="1365" spans="1:35" ht="18.75" customHeight="1">
      <c r="A1365" s="168"/>
      <c r="B1365" s="168"/>
      <c r="C1365" s="168"/>
      <c r="D1365" s="111"/>
      <c r="E1365" s="111"/>
      <c r="F1365" s="111"/>
      <c r="G1365" s="111"/>
      <c r="H1365" s="111"/>
      <c r="I1365" s="111"/>
      <c r="J1365" s="111"/>
      <c r="K1365" s="111"/>
      <c r="L1365" s="111"/>
      <c r="M1365" s="111"/>
      <c r="N1365" s="111"/>
      <c r="O1365" s="111"/>
      <c r="P1365" s="111"/>
      <c r="Q1365" s="111"/>
      <c r="R1365" s="111"/>
      <c r="S1365" s="111"/>
      <c r="T1365" s="111"/>
      <c r="U1365" s="111"/>
      <c r="V1365" s="111"/>
      <c r="W1365" s="111"/>
      <c r="X1365" s="111"/>
      <c r="Y1365" s="111"/>
      <c r="Z1365" s="111"/>
      <c r="AA1365" s="111"/>
      <c r="AB1365" s="111"/>
      <c r="AC1365" s="111"/>
      <c r="AD1365" s="111"/>
      <c r="AE1365" s="111"/>
      <c r="AF1365" s="111"/>
      <c r="AG1365" s="111"/>
      <c r="AH1365" s="111"/>
      <c r="AI1365" s="111"/>
    </row>
    <row r="1366" spans="1:35" ht="18.75" customHeight="1">
      <c r="A1366" s="168"/>
      <c r="B1366" s="168"/>
      <c r="C1366" s="168"/>
      <c r="D1366" s="111"/>
      <c r="E1366" s="111"/>
      <c r="F1366" s="111"/>
      <c r="G1366" s="111"/>
      <c r="H1366" s="111"/>
      <c r="I1366" s="111"/>
      <c r="J1366" s="111"/>
      <c r="K1366" s="111"/>
      <c r="L1366" s="111"/>
      <c r="M1366" s="111"/>
      <c r="N1366" s="111"/>
      <c r="O1366" s="111"/>
      <c r="P1366" s="111"/>
      <c r="Q1366" s="111"/>
      <c r="R1366" s="111"/>
      <c r="S1366" s="111"/>
      <c r="T1366" s="111"/>
      <c r="U1366" s="111"/>
      <c r="V1366" s="111"/>
      <c r="W1366" s="111"/>
      <c r="X1366" s="111"/>
      <c r="Y1366" s="111"/>
      <c r="Z1366" s="111"/>
      <c r="AA1366" s="111"/>
      <c r="AB1366" s="111"/>
      <c r="AC1366" s="111"/>
      <c r="AD1366" s="111"/>
      <c r="AE1366" s="111"/>
      <c r="AF1366" s="111"/>
      <c r="AG1366" s="111"/>
      <c r="AH1366" s="111"/>
      <c r="AI1366" s="111"/>
    </row>
    <row r="1367" spans="1:35" ht="18.75" customHeight="1">
      <c r="A1367" s="168"/>
      <c r="B1367" s="168"/>
      <c r="C1367" s="168"/>
      <c r="D1367" s="111"/>
      <c r="E1367" s="111"/>
      <c r="F1367" s="111"/>
      <c r="G1367" s="111"/>
      <c r="H1367" s="111"/>
      <c r="I1367" s="111"/>
      <c r="J1367" s="111"/>
      <c r="K1367" s="111"/>
      <c r="L1367" s="111"/>
      <c r="M1367" s="111"/>
      <c r="N1367" s="111"/>
      <c r="O1367" s="111"/>
      <c r="P1367" s="111"/>
      <c r="Q1367" s="111"/>
      <c r="R1367" s="111"/>
      <c r="S1367" s="111"/>
      <c r="T1367" s="111"/>
      <c r="U1367" s="111"/>
      <c r="V1367" s="111"/>
      <c r="W1367" s="111"/>
      <c r="X1367" s="111"/>
      <c r="Y1367" s="111"/>
      <c r="Z1367" s="111"/>
      <c r="AA1367" s="111"/>
      <c r="AB1367" s="111"/>
      <c r="AC1367" s="111"/>
      <c r="AD1367" s="111"/>
      <c r="AE1367" s="111"/>
      <c r="AF1367" s="111"/>
      <c r="AG1367" s="111"/>
      <c r="AH1367" s="111"/>
      <c r="AI1367" s="111"/>
    </row>
    <row r="1368" spans="1:35" ht="18.75" customHeight="1">
      <c r="A1368" s="168"/>
      <c r="B1368" s="168"/>
      <c r="C1368" s="168"/>
      <c r="D1368" s="111"/>
      <c r="E1368" s="111"/>
      <c r="F1368" s="111"/>
      <c r="G1368" s="111"/>
      <c r="H1368" s="111"/>
      <c r="I1368" s="111"/>
      <c r="J1368" s="111"/>
      <c r="K1368" s="111"/>
      <c r="L1368" s="111"/>
      <c r="M1368" s="111"/>
      <c r="N1368" s="111"/>
      <c r="O1368" s="111"/>
      <c r="P1368" s="111"/>
      <c r="Q1368" s="111"/>
      <c r="R1368" s="111"/>
      <c r="S1368" s="111"/>
      <c r="T1368" s="111"/>
      <c r="U1368" s="111"/>
      <c r="V1368" s="111"/>
      <c r="W1368" s="111"/>
      <c r="X1368" s="111"/>
      <c r="Y1368" s="111"/>
      <c r="Z1368" s="111"/>
      <c r="AA1368" s="111"/>
      <c r="AB1368" s="111"/>
      <c r="AC1368" s="111"/>
      <c r="AD1368" s="111"/>
      <c r="AE1368" s="111"/>
      <c r="AF1368" s="111"/>
      <c r="AG1368" s="111"/>
      <c r="AH1368" s="111"/>
      <c r="AI1368" s="111"/>
    </row>
    <row r="1369" spans="1:35" ht="18.75" customHeight="1">
      <c r="A1369" s="168"/>
      <c r="B1369" s="168"/>
      <c r="C1369" s="168"/>
      <c r="D1369" s="111"/>
      <c r="E1369" s="111"/>
      <c r="F1369" s="111"/>
      <c r="G1369" s="111"/>
      <c r="H1369" s="111"/>
      <c r="I1369" s="111"/>
      <c r="J1369" s="111"/>
      <c r="K1369" s="111"/>
      <c r="L1369" s="111"/>
      <c r="M1369" s="111"/>
      <c r="N1369" s="111"/>
      <c r="O1369" s="111"/>
      <c r="P1369" s="111"/>
      <c r="Q1369" s="111"/>
      <c r="R1369" s="111"/>
      <c r="S1369" s="111"/>
      <c r="T1369" s="111"/>
      <c r="U1369" s="111"/>
      <c r="V1369" s="111"/>
      <c r="W1369" s="111"/>
      <c r="X1369" s="111"/>
      <c r="Y1369" s="111"/>
      <c r="Z1369" s="111"/>
      <c r="AA1369" s="111"/>
      <c r="AB1369" s="111"/>
      <c r="AC1369" s="111"/>
      <c r="AD1369" s="111"/>
      <c r="AE1369" s="111"/>
      <c r="AF1369" s="111"/>
      <c r="AG1369" s="111"/>
      <c r="AH1369" s="111"/>
      <c r="AI1369" s="111"/>
    </row>
    <row r="1370" spans="1:35" ht="18.75" customHeight="1">
      <c r="A1370" s="168"/>
      <c r="B1370" s="168"/>
      <c r="C1370" s="168"/>
      <c r="D1370" s="111"/>
      <c r="E1370" s="111"/>
      <c r="F1370" s="111"/>
      <c r="G1370" s="111"/>
      <c r="H1370" s="111"/>
      <c r="I1370" s="111"/>
      <c r="J1370" s="111"/>
      <c r="K1370" s="111"/>
      <c r="L1370" s="111"/>
      <c r="M1370" s="111"/>
      <c r="N1370" s="111"/>
      <c r="O1370" s="111"/>
      <c r="P1370" s="111"/>
      <c r="Q1370" s="111"/>
      <c r="R1370" s="111"/>
      <c r="S1370" s="111"/>
      <c r="T1370" s="111"/>
      <c r="U1370" s="111"/>
      <c r="V1370" s="111"/>
      <c r="W1370" s="111"/>
      <c r="X1370" s="111"/>
      <c r="Y1370" s="111"/>
      <c r="Z1370" s="111"/>
      <c r="AA1370" s="111"/>
      <c r="AB1370" s="111"/>
      <c r="AC1370" s="111"/>
      <c r="AD1370" s="111"/>
      <c r="AE1370" s="111"/>
      <c r="AF1370" s="111"/>
      <c r="AG1370" s="111"/>
      <c r="AH1370" s="111"/>
      <c r="AI1370" s="111"/>
    </row>
    <row r="1371" spans="1:35" ht="18.75" customHeight="1">
      <c r="A1371" s="168"/>
      <c r="B1371" s="168"/>
      <c r="C1371" s="168"/>
      <c r="D1371" s="111"/>
      <c r="E1371" s="111"/>
      <c r="F1371" s="111"/>
      <c r="G1371" s="111"/>
      <c r="H1371" s="111"/>
      <c r="I1371" s="111"/>
      <c r="J1371" s="111"/>
      <c r="K1371" s="111"/>
      <c r="L1371" s="111"/>
      <c r="M1371" s="111"/>
      <c r="N1371" s="111"/>
      <c r="O1371" s="111"/>
      <c r="P1371" s="111"/>
      <c r="Q1371" s="111"/>
      <c r="R1371" s="111"/>
      <c r="S1371" s="111"/>
      <c r="T1371" s="111"/>
      <c r="U1371" s="111"/>
      <c r="V1371" s="111"/>
      <c r="W1371" s="111"/>
      <c r="X1371" s="111"/>
      <c r="Y1371" s="111"/>
      <c r="Z1371" s="111"/>
      <c r="AA1371" s="111"/>
      <c r="AB1371" s="111"/>
      <c r="AC1371" s="111"/>
      <c r="AD1371" s="111"/>
      <c r="AE1371" s="111"/>
      <c r="AF1371" s="111"/>
      <c r="AG1371" s="111"/>
      <c r="AH1371" s="111"/>
      <c r="AI1371" s="111"/>
    </row>
    <row r="1372" spans="1:35" ht="18.75" customHeight="1">
      <c r="A1372" s="168"/>
      <c r="B1372" s="168"/>
      <c r="C1372" s="168"/>
      <c r="D1372" s="111"/>
      <c r="E1372" s="111"/>
      <c r="F1372" s="111"/>
      <c r="G1372" s="111"/>
      <c r="H1372" s="111"/>
      <c r="I1372" s="111"/>
      <c r="J1372" s="111"/>
      <c r="K1372" s="111"/>
      <c r="L1372" s="111"/>
      <c r="M1372" s="111"/>
      <c r="N1372" s="111"/>
      <c r="O1372" s="111"/>
      <c r="P1372" s="111"/>
      <c r="Q1372" s="111"/>
      <c r="R1372" s="111"/>
      <c r="S1372" s="111"/>
      <c r="T1372" s="111"/>
      <c r="U1372" s="111"/>
      <c r="V1372" s="111"/>
      <c r="W1372" s="111"/>
      <c r="X1372" s="111"/>
      <c r="Y1372" s="111"/>
      <c r="Z1372" s="111"/>
      <c r="AA1372" s="111"/>
      <c r="AB1372" s="111"/>
      <c r="AC1372" s="111"/>
      <c r="AD1372" s="111"/>
      <c r="AE1372" s="111"/>
      <c r="AF1372" s="111"/>
      <c r="AG1372" s="111"/>
      <c r="AH1372" s="111"/>
      <c r="AI1372" s="111"/>
    </row>
    <row r="1373" spans="1:35" ht="18.75" customHeight="1">
      <c r="A1373" s="168"/>
      <c r="B1373" s="168"/>
      <c r="C1373" s="168"/>
      <c r="D1373" s="111"/>
      <c r="E1373" s="111"/>
      <c r="F1373" s="111"/>
      <c r="G1373" s="111"/>
      <c r="H1373" s="111"/>
      <c r="I1373" s="111"/>
      <c r="J1373" s="111"/>
      <c r="K1373" s="111"/>
      <c r="L1373" s="111"/>
      <c r="M1373" s="111"/>
      <c r="N1373" s="111"/>
      <c r="O1373" s="111"/>
      <c r="P1373" s="111"/>
      <c r="Q1373" s="111"/>
      <c r="R1373" s="111"/>
      <c r="S1373" s="111"/>
      <c r="T1373" s="111"/>
      <c r="U1373" s="111"/>
      <c r="V1373" s="111"/>
      <c r="W1373" s="111"/>
      <c r="X1373" s="111"/>
      <c r="Y1373" s="111"/>
      <c r="Z1373" s="111"/>
      <c r="AA1373" s="111"/>
      <c r="AB1373" s="111"/>
      <c r="AC1373" s="111"/>
      <c r="AD1373" s="111"/>
      <c r="AE1373" s="111"/>
      <c r="AF1373" s="111"/>
      <c r="AG1373" s="111"/>
      <c r="AH1373" s="111"/>
      <c r="AI1373" s="111"/>
    </row>
    <row r="1374" spans="1:35" ht="18.75" customHeight="1">
      <c r="A1374" s="168"/>
      <c r="B1374" s="168"/>
      <c r="C1374" s="168"/>
      <c r="D1374" s="111"/>
      <c r="E1374" s="111"/>
      <c r="F1374" s="111"/>
      <c r="G1374" s="111"/>
      <c r="H1374" s="111"/>
      <c r="I1374" s="111"/>
      <c r="J1374" s="111"/>
      <c r="K1374" s="111"/>
      <c r="L1374" s="111"/>
      <c r="M1374" s="111"/>
      <c r="N1374" s="111"/>
      <c r="O1374" s="111"/>
      <c r="P1374" s="111"/>
      <c r="Q1374" s="111"/>
      <c r="R1374" s="111"/>
      <c r="S1374" s="111"/>
      <c r="T1374" s="111"/>
      <c r="U1374" s="111"/>
      <c r="V1374" s="111"/>
      <c r="W1374" s="111"/>
      <c r="X1374" s="111"/>
      <c r="Y1374" s="111"/>
      <c r="Z1374" s="111"/>
      <c r="AA1374" s="111"/>
      <c r="AB1374" s="111"/>
      <c r="AC1374" s="111"/>
      <c r="AD1374" s="111"/>
      <c r="AE1374" s="111"/>
      <c r="AF1374" s="111"/>
      <c r="AG1374" s="111"/>
      <c r="AH1374" s="111"/>
      <c r="AI1374" s="111"/>
    </row>
    <row r="1375" spans="1:35" ht="18.75" customHeight="1">
      <c r="A1375" s="168"/>
      <c r="B1375" s="168"/>
      <c r="C1375" s="168"/>
      <c r="D1375" s="111"/>
      <c r="E1375" s="111"/>
      <c r="F1375" s="111"/>
      <c r="G1375" s="111"/>
      <c r="H1375" s="111"/>
      <c r="I1375" s="111"/>
      <c r="J1375" s="111"/>
      <c r="K1375" s="111"/>
      <c r="L1375" s="111"/>
      <c r="M1375" s="111"/>
      <c r="N1375" s="111"/>
      <c r="O1375" s="111"/>
      <c r="P1375" s="111"/>
      <c r="Q1375" s="111"/>
      <c r="R1375" s="111"/>
      <c r="S1375" s="111"/>
      <c r="T1375" s="111"/>
      <c r="U1375" s="111"/>
      <c r="V1375" s="111"/>
      <c r="W1375" s="111"/>
      <c r="X1375" s="111"/>
      <c r="Y1375" s="111"/>
      <c r="Z1375" s="111"/>
      <c r="AA1375" s="111"/>
      <c r="AB1375" s="111"/>
      <c r="AC1375" s="111"/>
      <c r="AD1375" s="111"/>
      <c r="AE1375" s="111"/>
      <c r="AF1375" s="111"/>
      <c r="AG1375" s="111"/>
      <c r="AH1375" s="111"/>
      <c r="AI1375" s="111"/>
    </row>
    <row r="1376" spans="1:35" ht="18.75" customHeight="1">
      <c r="A1376" s="168"/>
      <c r="B1376" s="168"/>
      <c r="C1376" s="168"/>
      <c r="D1376" s="111"/>
      <c r="E1376" s="111"/>
      <c r="F1376" s="111"/>
      <c r="G1376" s="111"/>
      <c r="H1376" s="111"/>
      <c r="I1376" s="111"/>
      <c r="J1376" s="111"/>
      <c r="K1376" s="111"/>
      <c r="L1376" s="111"/>
      <c r="M1376" s="111"/>
      <c r="N1376" s="111"/>
      <c r="O1376" s="111"/>
      <c r="P1376" s="111"/>
      <c r="Q1376" s="111"/>
      <c r="R1376" s="111"/>
      <c r="S1376" s="111"/>
      <c r="T1376" s="111"/>
      <c r="U1376" s="111"/>
      <c r="V1376" s="111"/>
      <c r="W1376" s="111"/>
      <c r="X1376" s="111"/>
      <c r="Y1376" s="111"/>
      <c r="Z1376" s="111"/>
      <c r="AA1376" s="111"/>
      <c r="AB1376" s="111"/>
      <c r="AC1376" s="111"/>
      <c r="AD1376" s="111"/>
      <c r="AE1376" s="111"/>
      <c r="AF1376" s="111"/>
      <c r="AG1376" s="111"/>
      <c r="AH1376" s="111"/>
      <c r="AI1376" s="111"/>
    </row>
    <row r="1377" spans="1:35" ht="18.75" customHeight="1">
      <c r="A1377" s="168"/>
      <c r="B1377" s="168"/>
      <c r="C1377" s="168"/>
      <c r="D1377" s="111"/>
      <c r="E1377" s="111"/>
      <c r="F1377" s="111"/>
      <c r="G1377" s="111"/>
      <c r="H1377" s="111"/>
      <c r="I1377" s="111"/>
      <c r="J1377" s="111"/>
      <c r="K1377" s="111"/>
      <c r="L1377" s="111"/>
      <c r="M1377" s="111"/>
      <c r="N1377" s="111"/>
      <c r="O1377" s="111"/>
      <c r="P1377" s="111"/>
      <c r="Q1377" s="111"/>
      <c r="R1377" s="111"/>
      <c r="S1377" s="111"/>
      <c r="T1377" s="111"/>
      <c r="U1377" s="111"/>
      <c r="V1377" s="111"/>
      <c r="W1377" s="111"/>
      <c r="X1377" s="111"/>
      <c r="Y1377" s="111"/>
      <c r="Z1377" s="111"/>
      <c r="AA1377" s="111"/>
      <c r="AB1377" s="111"/>
      <c r="AC1377" s="111"/>
      <c r="AD1377" s="111"/>
      <c r="AE1377" s="111"/>
      <c r="AF1377" s="111"/>
      <c r="AG1377" s="111"/>
      <c r="AH1377" s="111"/>
      <c r="AI1377" s="111"/>
    </row>
    <row r="1378" spans="1:35" ht="18.75" customHeight="1">
      <c r="A1378" s="168"/>
      <c r="B1378" s="168"/>
      <c r="C1378" s="168"/>
      <c r="D1378" s="111"/>
      <c r="E1378" s="111"/>
      <c r="F1378" s="111"/>
      <c r="G1378" s="111"/>
      <c r="H1378" s="111"/>
      <c r="I1378" s="111"/>
      <c r="J1378" s="111"/>
      <c r="K1378" s="111"/>
      <c r="L1378" s="111"/>
      <c r="M1378" s="111"/>
      <c r="N1378" s="111"/>
      <c r="O1378" s="111"/>
      <c r="P1378" s="111"/>
      <c r="Q1378" s="111"/>
      <c r="R1378" s="111"/>
      <c r="S1378" s="111"/>
      <c r="T1378" s="111"/>
      <c r="U1378" s="111"/>
      <c r="V1378" s="111"/>
      <c r="W1378" s="111"/>
      <c r="X1378" s="111"/>
      <c r="Y1378" s="111"/>
      <c r="Z1378" s="111"/>
      <c r="AA1378" s="111"/>
      <c r="AB1378" s="111"/>
      <c r="AC1378" s="111"/>
      <c r="AD1378" s="111"/>
      <c r="AE1378" s="111"/>
      <c r="AF1378" s="111"/>
      <c r="AG1378" s="111"/>
      <c r="AH1378" s="111"/>
      <c r="AI1378" s="111"/>
    </row>
    <row r="1379" spans="1:35" ht="18.75" customHeight="1">
      <c r="A1379" s="168"/>
      <c r="B1379" s="168"/>
      <c r="C1379" s="168"/>
      <c r="D1379" s="111"/>
      <c r="E1379" s="111"/>
      <c r="F1379" s="111"/>
      <c r="G1379" s="111"/>
      <c r="H1379" s="111"/>
      <c r="I1379" s="111"/>
      <c r="J1379" s="111"/>
      <c r="K1379" s="111"/>
      <c r="L1379" s="111"/>
      <c r="M1379" s="111"/>
      <c r="N1379" s="111"/>
      <c r="O1379" s="111"/>
      <c r="P1379" s="111"/>
      <c r="Q1379" s="111"/>
      <c r="R1379" s="111"/>
      <c r="S1379" s="111"/>
      <c r="T1379" s="111"/>
      <c r="U1379" s="111"/>
      <c r="V1379" s="111"/>
      <c r="W1379" s="111"/>
      <c r="X1379" s="111"/>
      <c r="Y1379" s="111"/>
      <c r="Z1379" s="111"/>
      <c r="AA1379" s="111"/>
      <c r="AB1379" s="111"/>
      <c r="AC1379" s="111"/>
      <c r="AD1379" s="111"/>
      <c r="AE1379" s="111"/>
      <c r="AF1379" s="111"/>
      <c r="AG1379" s="111"/>
      <c r="AH1379" s="111"/>
      <c r="AI1379" s="111"/>
    </row>
    <row r="1380" spans="1:35" ht="18.75" customHeight="1">
      <c r="A1380" s="168"/>
      <c r="B1380" s="168"/>
      <c r="C1380" s="168"/>
      <c r="D1380" s="111"/>
      <c r="E1380" s="111"/>
      <c r="F1380" s="111"/>
      <c r="G1380" s="111"/>
      <c r="H1380" s="111"/>
      <c r="I1380" s="111"/>
      <c r="J1380" s="111"/>
      <c r="K1380" s="111"/>
      <c r="L1380" s="111"/>
      <c r="M1380" s="111"/>
      <c r="N1380" s="111"/>
      <c r="O1380" s="111"/>
      <c r="P1380" s="111"/>
      <c r="Q1380" s="111"/>
      <c r="R1380" s="111"/>
      <c r="S1380" s="111"/>
      <c r="T1380" s="111"/>
      <c r="U1380" s="111"/>
      <c r="V1380" s="111"/>
      <c r="W1380" s="111"/>
      <c r="X1380" s="111"/>
      <c r="Y1380" s="111"/>
      <c r="Z1380" s="111"/>
      <c r="AA1380" s="111"/>
      <c r="AB1380" s="111"/>
      <c r="AC1380" s="111"/>
      <c r="AD1380" s="111"/>
      <c r="AE1380" s="111"/>
      <c r="AF1380" s="111"/>
      <c r="AG1380" s="111"/>
      <c r="AH1380" s="111"/>
      <c r="AI1380" s="111"/>
    </row>
    <row r="1381" spans="1:35" ht="18.75" customHeight="1">
      <c r="A1381" s="168"/>
      <c r="B1381" s="168"/>
      <c r="C1381" s="168"/>
      <c r="D1381" s="111"/>
      <c r="E1381" s="111"/>
      <c r="F1381" s="111"/>
      <c r="G1381" s="111"/>
      <c r="H1381" s="111"/>
      <c r="I1381" s="111"/>
      <c r="J1381" s="111"/>
      <c r="K1381" s="111"/>
      <c r="L1381" s="111"/>
      <c r="M1381" s="111"/>
      <c r="N1381" s="111"/>
      <c r="O1381" s="111"/>
      <c r="P1381" s="111"/>
      <c r="Q1381" s="111"/>
      <c r="R1381" s="111"/>
      <c r="S1381" s="111"/>
      <c r="T1381" s="111"/>
      <c r="U1381" s="111"/>
      <c r="V1381" s="111"/>
      <c r="W1381" s="111"/>
      <c r="X1381" s="111"/>
      <c r="Y1381" s="111"/>
      <c r="Z1381" s="111"/>
      <c r="AA1381" s="111"/>
      <c r="AB1381" s="111"/>
      <c r="AC1381" s="111"/>
      <c r="AD1381" s="111"/>
      <c r="AE1381" s="111"/>
      <c r="AF1381" s="111"/>
      <c r="AG1381" s="111"/>
      <c r="AH1381" s="111"/>
      <c r="AI1381" s="111"/>
    </row>
    <row r="1382" spans="1:35" ht="18.75" customHeight="1">
      <c r="A1382" s="168"/>
      <c r="B1382" s="168"/>
      <c r="C1382" s="168"/>
      <c r="D1382" s="111"/>
      <c r="E1382" s="111"/>
      <c r="F1382" s="111"/>
      <c r="G1382" s="111"/>
      <c r="H1382" s="111"/>
      <c r="I1382" s="111"/>
      <c r="J1382" s="111"/>
      <c r="K1382" s="111"/>
      <c r="L1382" s="111"/>
      <c r="M1382" s="111"/>
      <c r="N1382" s="111"/>
      <c r="O1382" s="111"/>
      <c r="P1382" s="111"/>
      <c r="Q1382" s="111"/>
      <c r="R1382" s="111"/>
      <c r="S1382" s="111"/>
      <c r="T1382" s="111"/>
      <c r="U1382" s="111"/>
      <c r="V1382" s="111"/>
      <c r="W1382" s="111"/>
      <c r="X1382" s="111"/>
      <c r="Y1382" s="111"/>
      <c r="Z1382" s="111"/>
      <c r="AA1382" s="111"/>
      <c r="AB1382" s="111"/>
      <c r="AC1382" s="111"/>
      <c r="AD1382" s="111"/>
      <c r="AE1382" s="111"/>
      <c r="AF1382" s="111"/>
      <c r="AG1382" s="111"/>
      <c r="AH1382" s="111"/>
      <c r="AI1382" s="111"/>
    </row>
    <row r="1383" spans="1:35" ht="18.75" customHeight="1">
      <c r="A1383" s="168"/>
      <c r="B1383" s="168"/>
      <c r="C1383" s="168"/>
      <c r="D1383" s="111"/>
      <c r="E1383" s="111"/>
      <c r="F1383" s="111"/>
      <c r="G1383" s="111"/>
      <c r="H1383" s="111"/>
      <c r="I1383" s="111"/>
      <c r="J1383" s="111"/>
      <c r="K1383" s="111"/>
      <c r="L1383" s="111"/>
      <c r="M1383" s="111"/>
      <c r="N1383" s="111"/>
      <c r="O1383" s="111"/>
      <c r="P1383" s="111"/>
      <c r="Q1383" s="111"/>
      <c r="R1383" s="111"/>
      <c r="S1383" s="111"/>
      <c r="T1383" s="111"/>
      <c r="U1383" s="111"/>
      <c r="V1383" s="111"/>
      <c r="W1383" s="111"/>
      <c r="X1383" s="111"/>
      <c r="Y1383" s="111"/>
      <c r="Z1383" s="111"/>
      <c r="AA1383" s="111"/>
      <c r="AB1383" s="111"/>
      <c r="AC1383" s="111"/>
      <c r="AD1383" s="111"/>
      <c r="AE1383" s="111"/>
      <c r="AF1383" s="111"/>
      <c r="AG1383" s="111"/>
      <c r="AH1383" s="111"/>
      <c r="AI1383" s="111"/>
    </row>
    <row r="1384" spans="1:35" ht="18.75" customHeight="1">
      <c r="A1384" s="168"/>
      <c r="B1384" s="168"/>
      <c r="C1384" s="168"/>
      <c r="D1384" s="111"/>
      <c r="E1384" s="111"/>
      <c r="F1384" s="111"/>
      <c r="G1384" s="111"/>
      <c r="H1384" s="111"/>
      <c r="I1384" s="111"/>
      <c r="J1384" s="111"/>
      <c r="K1384" s="111"/>
      <c r="L1384" s="111"/>
      <c r="M1384" s="111"/>
      <c r="N1384" s="111"/>
      <c r="O1384" s="111"/>
      <c r="P1384" s="111"/>
      <c r="Q1384" s="111"/>
      <c r="R1384" s="111"/>
      <c r="S1384" s="111"/>
      <c r="T1384" s="111"/>
      <c r="U1384" s="111"/>
      <c r="V1384" s="111"/>
      <c r="W1384" s="111"/>
      <c r="X1384" s="111"/>
      <c r="Y1384" s="111"/>
      <c r="Z1384" s="111"/>
      <c r="AA1384" s="111"/>
      <c r="AB1384" s="111"/>
      <c r="AC1384" s="111"/>
      <c r="AD1384" s="111"/>
      <c r="AE1384" s="111"/>
      <c r="AF1384" s="111"/>
      <c r="AG1384" s="111"/>
      <c r="AH1384" s="111"/>
      <c r="AI1384" s="111"/>
    </row>
    <row r="1385" spans="1:35" ht="18.75" customHeight="1">
      <c r="A1385" s="168"/>
      <c r="B1385" s="168"/>
      <c r="C1385" s="168"/>
      <c r="D1385" s="111"/>
      <c r="E1385" s="111"/>
      <c r="F1385" s="111"/>
      <c r="G1385" s="111"/>
      <c r="H1385" s="111"/>
      <c r="I1385" s="111"/>
      <c r="J1385" s="111"/>
      <c r="K1385" s="111"/>
      <c r="L1385" s="111"/>
      <c r="M1385" s="111"/>
      <c r="N1385" s="111"/>
      <c r="O1385" s="111"/>
      <c r="P1385" s="111"/>
      <c r="Q1385" s="111"/>
      <c r="R1385" s="111"/>
      <c r="S1385" s="111"/>
      <c r="T1385" s="111"/>
      <c r="U1385" s="111"/>
      <c r="V1385" s="111"/>
      <c r="W1385" s="111"/>
      <c r="X1385" s="111"/>
      <c r="Y1385" s="111"/>
      <c r="Z1385" s="111"/>
      <c r="AA1385" s="111"/>
      <c r="AB1385" s="111"/>
      <c r="AC1385" s="111"/>
      <c r="AD1385" s="111"/>
      <c r="AE1385" s="111"/>
      <c r="AF1385" s="111"/>
      <c r="AG1385" s="111"/>
      <c r="AH1385" s="111"/>
      <c r="AI1385" s="111"/>
    </row>
    <row r="1386" spans="1:35" ht="18.75" customHeight="1">
      <c r="A1386" s="168"/>
      <c r="B1386" s="168"/>
      <c r="C1386" s="168"/>
      <c r="D1386" s="111"/>
      <c r="E1386" s="111"/>
      <c r="F1386" s="111"/>
      <c r="G1386" s="111"/>
      <c r="H1386" s="111"/>
      <c r="I1386" s="111"/>
      <c r="J1386" s="111"/>
      <c r="K1386" s="111"/>
      <c r="L1386" s="111"/>
      <c r="M1386" s="111"/>
      <c r="N1386" s="111"/>
      <c r="O1386" s="111"/>
      <c r="P1386" s="111"/>
      <c r="Q1386" s="111"/>
      <c r="R1386" s="111"/>
      <c r="S1386" s="111"/>
      <c r="T1386" s="111"/>
      <c r="U1386" s="111"/>
      <c r="V1386" s="111"/>
      <c r="W1386" s="111"/>
      <c r="X1386" s="111"/>
      <c r="Y1386" s="111"/>
      <c r="Z1386" s="111"/>
      <c r="AA1386" s="111"/>
      <c r="AB1386" s="111"/>
      <c r="AC1386" s="111"/>
      <c r="AD1386" s="111"/>
      <c r="AE1386" s="111"/>
      <c r="AF1386" s="111"/>
      <c r="AG1386" s="111"/>
      <c r="AH1386" s="111"/>
      <c r="AI1386" s="111"/>
    </row>
    <row r="1387" spans="1:35" ht="18.75" customHeight="1">
      <c r="A1387" s="168"/>
      <c r="B1387" s="168"/>
      <c r="C1387" s="168"/>
      <c r="D1387" s="111"/>
      <c r="E1387" s="111"/>
      <c r="F1387" s="111"/>
      <c r="G1387" s="111"/>
      <c r="H1387" s="111"/>
      <c r="I1387" s="111"/>
      <c r="J1387" s="111"/>
      <c r="K1387" s="111"/>
      <c r="L1387" s="111"/>
      <c r="M1387" s="111"/>
      <c r="N1387" s="111"/>
      <c r="O1387" s="111"/>
      <c r="P1387" s="111"/>
      <c r="Q1387" s="111"/>
      <c r="R1387" s="111"/>
      <c r="S1387" s="111"/>
      <c r="T1387" s="111"/>
      <c r="U1387" s="111"/>
      <c r="V1387" s="111"/>
      <c r="W1387" s="111"/>
      <c r="X1387" s="111"/>
      <c r="Y1387" s="111"/>
      <c r="Z1387" s="111"/>
      <c r="AA1387" s="111"/>
      <c r="AB1387" s="111"/>
      <c r="AC1387" s="111"/>
      <c r="AD1387" s="111"/>
      <c r="AE1387" s="111"/>
      <c r="AF1387" s="111"/>
      <c r="AG1387" s="111"/>
      <c r="AH1387" s="111"/>
      <c r="AI1387" s="111"/>
    </row>
    <row r="1388" spans="1:35" ht="18.75" customHeight="1">
      <c r="A1388" s="168"/>
      <c r="B1388" s="168"/>
      <c r="C1388" s="168"/>
      <c r="D1388" s="111"/>
      <c r="E1388" s="111"/>
      <c r="F1388" s="111"/>
      <c r="G1388" s="111"/>
      <c r="H1388" s="111"/>
      <c r="I1388" s="111"/>
      <c r="J1388" s="111"/>
      <c r="K1388" s="111"/>
      <c r="L1388" s="111"/>
      <c r="M1388" s="111"/>
      <c r="N1388" s="111"/>
      <c r="O1388" s="111"/>
      <c r="P1388" s="111"/>
      <c r="Q1388" s="111"/>
      <c r="R1388" s="111"/>
      <c r="S1388" s="111"/>
      <c r="T1388" s="111"/>
      <c r="U1388" s="111"/>
      <c r="V1388" s="111"/>
      <c r="W1388" s="111"/>
      <c r="X1388" s="111"/>
      <c r="Y1388" s="111"/>
      <c r="Z1388" s="111"/>
      <c r="AA1388" s="111"/>
      <c r="AB1388" s="111"/>
      <c r="AC1388" s="111"/>
      <c r="AD1388" s="111"/>
      <c r="AE1388" s="111"/>
      <c r="AF1388" s="111"/>
      <c r="AG1388" s="111"/>
      <c r="AH1388" s="111"/>
      <c r="AI1388" s="111"/>
    </row>
    <row r="1389" spans="1:35" ht="18.75" customHeight="1">
      <c r="A1389" s="168"/>
      <c r="B1389" s="168"/>
      <c r="C1389" s="168"/>
      <c r="D1389" s="111"/>
      <c r="E1389" s="111"/>
      <c r="F1389" s="111"/>
      <c r="G1389" s="111"/>
      <c r="H1389" s="111"/>
      <c r="I1389" s="111"/>
      <c r="J1389" s="111"/>
      <c r="K1389" s="111"/>
      <c r="L1389" s="111"/>
      <c r="M1389" s="111"/>
      <c r="N1389" s="111"/>
      <c r="O1389" s="111"/>
      <c r="P1389" s="111"/>
      <c r="Q1389" s="111"/>
      <c r="R1389" s="111"/>
      <c r="S1389" s="111"/>
      <c r="T1389" s="111"/>
      <c r="U1389" s="111"/>
      <c r="V1389" s="111"/>
      <c r="W1389" s="111"/>
      <c r="X1389" s="111"/>
      <c r="Y1389" s="111"/>
      <c r="Z1389" s="111"/>
      <c r="AA1389" s="111"/>
      <c r="AB1389" s="111"/>
      <c r="AC1389" s="111"/>
      <c r="AD1389" s="111"/>
      <c r="AE1389" s="111"/>
      <c r="AF1389" s="111"/>
      <c r="AG1389" s="111"/>
      <c r="AH1389" s="111"/>
      <c r="AI1389" s="111"/>
    </row>
    <row r="1390" spans="1:35" ht="18.75" customHeight="1">
      <c r="A1390" s="168"/>
      <c r="B1390" s="168"/>
      <c r="C1390" s="168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  <c r="AG1390" s="111"/>
      <c r="AH1390" s="111"/>
      <c r="AI1390" s="111"/>
    </row>
    <row r="1391" spans="1:35" ht="18.75" customHeight="1">
      <c r="A1391" s="168"/>
      <c r="B1391" s="168"/>
      <c r="C1391" s="168"/>
      <c r="D1391" s="111"/>
      <c r="E1391" s="111"/>
      <c r="F1391" s="111"/>
      <c r="G1391" s="111"/>
      <c r="H1391" s="111"/>
      <c r="I1391" s="111"/>
      <c r="J1391" s="111"/>
      <c r="K1391" s="111"/>
      <c r="L1391" s="111"/>
      <c r="M1391" s="111"/>
      <c r="N1391" s="111"/>
      <c r="O1391" s="111"/>
      <c r="P1391" s="111"/>
      <c r="Q1391" s="111"/>
      <c r="R1391" s="111"/>
      <c r="S1391" s="111"/>
      <c r="T1391" s="111"/>
      <c r="U1391" s="111"/>
      <c r="V1391" s="111"/>
      <c r="W1391" s="111"/>
      <c r="X1391" s="111"/>
      <c r="Y1391" s="111"/>
      <c r="Z1391" s="111"/>
      <c r="AA1391" s="111"/>
      <c r="AB1391" s="111"/>
      <c r="AC1391" s="111"/>
      <c r="AD1391" s="111"/>
      <c r="AE1391" s="111"/>
      <c r="AF1391" s="111"/>
      <c r="AG1391" s="111"/>
      <c r="AH1391" s="111"/>
      <c r="AI1391" s="111"/>
    </row>
    <row r="1392" spans="1:35" ht="18.75" customHeight="1">
      <c r="A1392" s="168"/>
      <c r="B1392" s="168"/>
      <c r="C1392" s="168"/>
      <c r="D1392" s="111"/>
      <c r="E1392" s="111"/>
      <c r="F1392" s="111"/>
      <c r="G1392" s="111"/>
      <c r="H1392" s="111"/>
      <c r="I1392" s="111"/>
      <c r="J1392" s="111"/>
      <c r="K1392" s="111"/>
      <c r="L1392" s="111"/>
      <c r="M1392" s="111"/>
      <c r="N1392" s="111"/>
      <c r="O1392" s="111"/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/>
      <c r="AB1392" s="111"/>
      <c r="AC1392" s="111"/>
      <c r="AD1392" s="111"/>
      <c r="AE1392" s="111"/>
      <c r="AF1392" s="111"/>
      <c r="AG1392" s="111"/>
      <c r="AH1392" s="111"/>
      <c r="AI1392" s="111"/>
    </row>
    <row r="1393" spans="1:35" ht="18.75" customHeight="1">
      <c r="A1393" s="168"/>
      <c r="B1393" s="168"/>
      <c r="C1393" s="168"/>
      <c r="D1393" s="111"/>
      <c r="E1393" s="111"/>
      <c r="F1393" s="111"/>
      <c r="G1393" s="111"/>
      <c r="H1393" s="111"/>
      <c r="I1393" s="111"/>
      <c r="J1393" s="111"/>
      <c r="K1393" s="111"/>
      <c r="L1393" s="111"/>
      <c r="M1393" s="111"/>
      <c r="N1393" s="111"/>
      <c r="O1393" s="111"/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/>
      <c r="AB1393" s="111"/>
      <c r="AC1393" s="111"/>
      <c r="AD1393" s="111"/>
      <c r="AE1393" s="111"/>
      <c r="AF1393" s="111"/>
      <c r="AG1393" s="111"/>
      <c r="AH1393" s="111"/>
      <c r="AI1393" s="111"/>
    </row>
    <row r="1394" spans="1:35" ht="18.75" customHeight="1">
      <c r="A1394" s="168"/>
      <c r="B1394" s="168"/>
      <c r="C1394" s="168"/>
      <c r="D1394" s="111"/>
      <c r="E1394" s="111"/>
      <c r="F1394" s="111"/>
      <c r="G1394" s="111"/>
      <c r="H1394" s="111"/>
      <c r="I1394" s="111"/>
      <c r="J1394" s="111"/>
      <c r="K1394" s="111"/>
      <c r="L1394" s="111"/>
      <c r="M1394" s="111"/>
      <c r="N1394" s="111"/>
      <c r="O1394" s="111"/>
      <c r="P1394" s="111"/>
      <c r="Q1394" s="111"/>
      <c r="R1394" s="111"/>
      <c r="S1394" s="111"/>
      <c r="T1394" s="111"/>
      <c r="U1394" s="111"/>
      <c r="V1394" s="111"/>
      <c r="W1394" s="111"/>
      <c r="X1394" s="111"/>
      <c r="Y1394" s="111"/>
      <c r="Z1394" s="111"/>
      <c r="AA1394" s="111"/>
      <c r="AB1394" s="111"/>
      <c r="AC1394" s="111"/>
      <c r="AD1394" s="111"/>
      <c r="AE1394" s="111"/>
      <c r="AF1394" s="111"/>
      <c r="AG1394" s="111"/>
      <c r="AH1394" s="111"/>
      <c r="AI1394" s="111"/>
    </row>
    <row r="1395" spans="1:35" ht="18.75" customHeight="1">
      <c r="A1395" s="168"/>
      <c r="B1395" s="168"/>
      <c r="C1395" s="168"/>
      <c r="D1395" s="111"/>
      <c r="E1395" s="111"/>
      <c r="F1395" s="111"/>
      <c r="G1395" s="111"/>
      <c r="H1395" s="111"/>
      <c r="I1395" s="111"/>
      <c r="J1395" s="111"/>
      <c r="K1395" s="111"/>
      <c r="L1395" s="111"/>
      <c r="M1395" s="111"/>
      <c r="N1395" s="111"/>
      <c r="O1395" s="111"/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/>
      <c r="AB1395" s="111"/>
      <c r="AC1395" s="111"/>
      <c r="AD1395" s="111"/>
      <c r="AE1395" s="111"/>
      <c r="AF1395" s="111"/>
      <c r="AG1395" s="111"/>
      <c r="AH1395" s="111"/>
      <c r="AI1395" s="111"/>
    </row>
    <row r="1396" spans="1:35" ht="18.75" customHeight="1">
      <c r="A1396" s="168"/>
      <c r="B1396" s="168"/>
      <c r="C1396" s="168"/>
      <c r="D1396" s="111"/>
      <c r="E1396" s="111"/>
      <c r="F1396" s="111"/>
      <c r="G1396" s="111"/>
      <c r="H1396" s="111"/>
      <c r="I1396" s="111"/>
      <c r="J1396" s="111"/>
      <c r="K1396" s="111"/>
      <c r="L1396" s="111"/>
      <c r="M1396" s="111"/>
      <c r="N1396" s="111"/>
      <c r="O1396" s="111"/>
      <c r="P1396" s="111"/>
      <c r="Q1396" s="111"/>
      <c r="R1396" s="111"/>
      <c r="S1396" s="111"/>
      <c r="T1396" s="111"/>
      <c r="U1396" s="111"/>
      <c r="V1396" s="111"/>
      <c r="W1396" s="111"/>
      <c r="X1396" s="111"/>
      <c r="Y1396" s="111"/>
      <c r="Z1396" s="111"/>
      <c r="AA1396" s="111"/>
      <c r="AB1396" s="111"/>
      <c r="AC1396" s="111"/>
      <c r="AD1396" s="111"/>
      <c r="AE1396" s="111"/>
      <c r="AF1396" s="111"/>
      <c r="AG1396" s="111"/>
      <c r="AH1396" s="111"/>
      <c r="AI1396" s="111"/>
    </row>
    <row r="1397" spans="1:35" ht="18.75" customHeight="1">
      <c r="A1397" s="168"/>
      <c r="B1397" s="168"/>
      <c r="C1397" s="168"/>
      <c r="D1397" s="111"/>
      <c r="E1397" s="111"/>
      <c r="F1397" s="111"/>
      <c r="G1397" s="111"/>
      <c r="H1397" s="111"/>
      <c r="I1397" s="111"/>
      <c r="J1397" s="111"/>
      <c r="K1397" s="111"/>
      <c r="L1397" s="111"/>
      <c r="M1397" s="111"/>
      <c r="N1397" s="111"/>
      <c r="O1397" s="111"/>
      <c r="P1397" s="111"/>
      <c r="Q1397" s="111"/>
      <c r="R1397" s="111"/>
      <c r="S1397" s="111"/>
      <c r="T1397" s="111"/>
      <c r="U1397" s="111"/>
      <c r="V1397" s="111"/>
      <c r="W1397" s="111"/>
      <c r="X1397" s="111"/>
      <c r="Y1397" s="111"/>
      <c r="Z1397" s="111"/>
      <c r="AA1397" s="111"/>
      <c r="AB1397" s="111"/>
      <c r="AC1397" s="111"/>
      <c r="AD1397" s="111"/>
      <c r="AE1397" s="111"/>
      <c r="AF1397" s="111"/>
      <c r="AG1397" s="111"/>
      <c r="AH1397" s="111"/>
      <c r="AI1397" s="111"/>
    </row>
    <row r="1398" spans="1:35" ht="18.75" customHeight="1">
      <c r="A1398" s="168"/>
      <c r="B1398" s="168"/>
      <c r="C1398" s="168"/>
      <c r="D1398" s="111"/>
      <c r="E1398" s="111"/>
      <c r="F1398" s="111"/>
      <c r="G1398" s="111"/>
      <c r="H1398" s="111"/>
      <c r="I1398" s="111"/>
      <c r="J1398" s="111"/>
      <c r="K1398" s="111"/>
      <c r="L1398" s="111"/>
      <c r="M1398" s="111"/>
      <c r="N1398" s="111"/>
      <c r="O1398" s="111"/>
      <c r="P1398" s="111"/>
      <c r="Q1398" s="111"/>
      <c r="R1398" s="111"/>
      <c r="S1398" s="111"/>
      <c r="T1398" s="111"/>
      <c r="U1398" s="111"/>
      <c r="V1398" s="111"/>
      <c r="W1398" s="111"/>
      <c r="X1398" s="111"/>
      <c r="Y1398" s="111"/>
      <c r="Z1398" s="111"/>
      <c r="AA1398" s="111"/>
      <c r="AB1398" s="111"/>
      <c r="AC1398" s="111"/>
      <c r="AD1398" s="111"/>
      <c r="AE1398" s="111"/>
      <c r="AF1398" s="111"/>
      <c r="AG1398" s="111"/>
      <c r="AH1398" s="111"/>
      <c r="AI1398" s="111"/>
    </row>
    <row r="1399" spans="1:35" ht="18.75" customHeight="1">
      <c r="A1399" s="168"/>
      <c r="B1399" s="168"/>
      <c r="C1399" s="168"/>
      <c r="D1399" s="111"/>
      <c r="E1399" s="111"/>
      <c r="F1399" s="111"/>
      <c r="G1399" s="111"/>
      <c r="H1399" s="111"/>
      <c r="I1399" s="111"/>
      <c r="J1399" s="111"/>
      <c r="K1399" s="111"/>
      <c r="L1399" s="111"/>
      <c r="M1399" s="111"/>
      <c r="N1399" s="111"/>
      <c r="O1399" s="111"/>
      <c r="P1399" s="111"/>
      <c r="Q1399" s="111"/>
      <c r="R1399" s="111"/>
      <c r="S1399" s="111"/>
      <c r="T1399" s="111"/>
      <c r="U1399" s="111"/>
      <c r="V1399" s="111"/>
      <c r="W1399" s="111"/>
      <c r="X1399" s="111"/>
      <c r="Y1399" s="111"/>
      <c r="Z1399" s="111"/>
      <c r="AA1399" s="111"/>
      <c r="AB1399" s="111"/>
      <c r="AC1399" s="111"/>
      <c r="AD1399" s="111"/>
      <c r="AE1399" s="111"/>
      <c r="AF1399" s="111"/>
      <c r="AG1399" s="111"/>
      <c r="AH1399" s="111"/>
      <c r="AI1399" s="111"/>
    </row>
    <row r="1400" spans="1:35" ht="18.75" customHeight="1">
      <c r="A1400" s="168"/>
      <c r="B1400" s="168"/>
      <c r="C1400" s="168"/>
      <c r="D1400" s="111"/>
      <c r="E1400" s="111"/>
      <c r="F1400" s="111"/>
      <c r="G1400" s="111"/>
      <c r="H1400" s="111"/>
      <c r="I1400" s="111"/>
      <c r="J1400" s="111"/>
      <c r="K1400" s="111"/>
      <c r="L1400" s="111"/>
      <c r="M1400" s="111"/>
      <c r="N1400" s="111"/>
      <c r="O1400" s="111"/>
      <c r="P1400" s="111"/>
      <c r="Q1400" s="111"/>
      <c r="R1400" s="111"/>
      <c r="S1400" s="111"/>
      <c r="T1400" s="111"/>
      <c r="U1400" s="111"/>
      <c r="V1400" s="111"/>
      <c r="W1400" s="111"/>
      <c r="X1400" s="111"/>
      <c r="Y1400" s="111"/>
      <c r="Z1400" s="111"/>
      <c r="AA1400" s="111"/>
      <c r="AB1400" s="111"/>
      <c r="AC1400" s="111"/>
      <c r="AD1400" s="111"/>
      <c r="AE1400" s="111"/>
      <c r="AF1400" s="111"/>
      <c r="AG1400" s="111"/>
      <c r="AH1400" s="111"/>
      <c r="AI1400" s="111"/>
    </row>
    <row r="1401" spans="1:35" ht="18.75" customHeight="1">
      <c r="A1401" s="168"/>
      <c r="B1401" s="168"/>
      <c r="C1401" s="168"/>
      <c r="D1401" s="111"/>
      <c r="E1401" s="111"/>
      <c r="F1401" s="111"/>
      <c r="G1401" s="111"/>
      <c r="H1401" s="111"/>
      <c r="I1401" s="111"/>
      <c r="J1401" s="111"/>
      <c r="K1401" s="111"/>
      <c r="L1401" s="111"/>
      <c r="M1401" s="111"/>
      <c r="N1401" s="111"/>
      <c r="O1401" s="111"/>
      <c r="P1401" s="111"/>
      <c r="Q1401" s="111"/>
      <c r="R1401" s="111"/>
      <c r="S1401" s="111"/>
      <c r="T1401" s="111"/>
      <c r="U1401" s="111"/>
      <c r="V1401" s="111"/>
      <c r="W1401" s="111"/>
      <c r="X1401" s="111"/>
      <c r="Y1401" s="111"/>
      <c r="Z1401" s="111"/>
      <c r="AA1401" s="111"/>
      <c r="AB1401" s="111"/>
      <c r="AC1401" s="111"/>
      <c r="AD1401" s="111"/>
      <c r="AE1401" s="111"/>
      <c r="AF1401" s="111"/>
      <c r="AG1401" s="111"/>
      <c r="AH1401" s="111"/>
      <c r="AI1401" s="111"/>
    </row>
    <row r="1402" spans="1:35" ht="18.75" customHeight="1">
      <c r="A1402" s="168"/>
      <c r="B1402" s="168"/>
      <c r="C1402" s="168"/>
      <c r="D1402" s="111"/>
      <c r="E1402" s="111"/>
      <c r="F1402" s="111"/>
      <c r="G1402" s="111"/>
      <c r="H1402" s="111"/>
      <c r="I1402" s="111"/>
      <c r="J1402" s="111"/>
      <c r="K1402" s="111"/>
      <c r="L1402" s="111"/>
      <c r="M1402" s="111"/>
      <c r="N1402" s="111"/>
      <c r="O1402" s="111"/>
      <c r="P1402" s="111"/>
      <c r="Q1402" s="111"/>
      <c r="R1402" s="111"/>
      <c r="S1402" s="111"/>
      <c r="T1402" s="111"/>
      <c r="U1402" s="111"/>
      <c r="V1402" s="111"/>
      <c r="W1402" s="111"/>
      <c r="X1402" s="111"/>
      <c r="Y1402" s="111"/>
      <c r="Z1402" s="111"/>
      <c r="AA1402" s="111"/>
      <c r="AB1402" s="111"/>
      <c r="AC1402" s="111"/>
      <c r="AD1402" s="111"/>
      <c r="AE1402" s="111"/>
      <c r="AF1402" s="111"/>
      <c r="AG1402" s="111"/>
      <c r="AH1402" s="111"/>
      <c r="AI1402" s="111"/>
    </row>
    <row r="1403" spans="1:35" ht="18.75" customHeight="1">
      <c r="A1403" s="168"/>
      <c r="B1403" s="168"/>
      <c r="C1403" s="168"/>
      <c r="D1403" s="111"/>
      <c r="E1403" s="111"/>
      <c r="F1403" s="111"/>
      <c r="G1403" s="111"/>
      <c r="H1403" s="111"/>
      <c r="I1403" s="111"/>
      <c r="J1403" s="111"/>
      <c r="K1403" s="111"/>
      <c r="L1403" s="111"/>
      <c r="M1403" s="111"/>
      <c r="N1403" s="111"/>
      <c r="O1403" s="111"/>
      <c r="P1403" s="111"/>
      <c r="Q1403" s="111"/>
      <c r="R1403" s="111"/>
      <c r="S1403" s="111"/>
      <c r="T1403" s="111"/>
      <c r="U1403" s="111"/>
      <c r="V1403" s="111"/>
      <c r="W1403" s="111"/>
      <c r="X1403" s="111"/>
      <c r="Y1403" s="111"/>
      <c r="Z1403" s="111"/>
      <c r="AA1403" s="111"/>
      <c r="AB1403" s="111"/>
      <c r="AC1403" s="111"/>
      <c r="AD1403" s="111"/>
      <c r="AE1403" s="111"/>
      <c r="AF1403" s="111"/>
      <c r="AG1403" s="111"/>
      <c r="AH1403" s="111"/>
      <c r="AI1403" s="111"/>
    </row>
    <row r="1404" spans="1:35" ht="18.75" customHeight="1">
      <c r="A1404" s="168"/>
      <c r="B1404" s="168"/>
      <c r="C1404" s="168"/>
      <c r="D1404" s="111"/>
      <c r="E1404" s="111"/>
      <c r="F1404" s="111"/>
      <c r="G1404" s="111"/>
      <c r="H1404" s="111"/>
      <c r="I1404" s="111"/>
      <c r="J1404" s="111"/>
      <c r="K1404" s="111"/>
      <c r="L1404" s="111"/>
      <c r="M1404" s="111"/>
      <c r="N1404" s="111"/>
      <c r="O1404" s="111"/>
      <c r="P1404" s="111"/>
      <c r="Q1404" s="111"/>
      <c r="R1404" s="111"/>
      <c r="S1404" s="111"/>
      <c r="T1404" s="111"/>
      <c r="U1404" s="111"/>
      <c r="V1404" s="111"/>
      <c r="W1404" s="111"/>
      <c r="X1404" s="111"/>
      <c r="Y1404" s="111"/>
      <c r="Z1404" s="111"/>
      <c r="AA1404" s="111"/>
      <c r="AB1404" s="111"/>
      <c r="AC1404" s="111"/>
      <c r="AD1404" s="111"/>
      <c r="AE1404" s="111"/>
      <c r="AF1404" s="111"/>
      <c r="AG1404" s="111"/>
      <c r="AH1404" s="111"/>
      <c r="AI1404" s="111"/>
    </row>
    <row r="1405" spans="1:35" ht="18.75" customHeight="1">
      <c r="A1405" s="168"/>
      <c r="B1405" s="168"/>
      <c r="C1405" s="168"/>
      <c r="D1405" s="111"/>
      <c r="E1405" s="111"/>
      <c r="F1405" s="111"/>
      <c r="G1405" s="111"/>
      <c r="H1405" s="111"/>
      <c r="I1405" s="111"/>
      <c r="J1405" s="111"/>
      <c r="K1405" s="111"/>
      <c r="L1405" s="111"/>
      <c r="M1405" s="111"/>
      <c r="N1405" s="111"/>
      <c r="O1405" s="111"/>
      <c r="P1405" s="111"/>
      <c r="Q1405" s="111"/>
      <c r="R1405" s="111"/>
      <c r="S1405" s="111"/>
      <c r="T1405" s="111"/>
      <c r="U1405" s="111"/>
      <c r="V1405" s="111"/>
      <c r="W1405" s="111"/>
      <c r="X1405" s="111"/>
      <c r="Y1405" s="111"/>
      <c r="Z1405" s="111"/>
      <c r="AA1405" s="111"/>
      <c r="AB1405" s="111"/>
      <c r="AC1405" s="111"/>
      <c r="AD1405" s="111"/>
      <c r="AE1405" s="111"/>
      <c r="AF1405" s="111"/>
      <c r="AG1405" s="111"/>
      <c r="AH1405" s="111"/>
      <c r="AI1405" s="111"/>
    </row>
    <row r="1406" spans="1:35" ht="18.75" customHeight="1">
      <c r="A1406" s="168"/>
      <c r="B1406" s="168"/>
      <c r="C1406" s="168"/>
      <c r="D1406" s="111"/>
      <c r="E1406" s="111"/>
      <c r="F1406" s="111"/>
      <c r="G1406" s="111"/>
      <c r="H1406" s="111"/>
      <c r="I1406" s="111"/>
      <c r="J1406" s="111"/>
      <c r="K1406" s="111"/>
      <c r="L1406" s="111"/>
      <c r="M1406" s="111"/>
      <c r="N1406" s="111"/>
      <c r="O1406" s="111"/>
      <c r="P1406" s="111"/>
      <c r="Q1406" s="111"/>
      <c r="R1406" s="111"/>
      <c r="S1406" s="111"/>
      <c r="T1406" s="111"/>
      <c r="U1406" s="111"/>
      <c r="V1406" s="111"/>
      <c r="W1406" s="111"/>
      <c r="X1406" s="111"/>
      <c r="Y1406" s="111"/>
      <c r="Z1406" s="111"/>
      <c r="AA1406" s="111"/>
      <c r="AB1406" s="111"/>
      <c r="AC1406" s="111"/>
      <c r="AD1406" s="111"/>
      <c r="AE1406" s="111"/>
      <c r="AF1406" s="111"/>
      <c r="AG1406" s="111"/>
      <c r="AH1406" s="111"/>
      <c r="AI1406" s="111"/>
    </row>
    <row r="1407" spans="1:35" ht="18.75" customHeight="1">
      <c r="A1407" s="168"/>
      <c r="B1407" s="168"/>
      <c r="C1407" s="168"/>
      <c r="D1407" s="111"/>
      <c r="E1407" s="111"/>
      <c r="F1407" s="111"/>
      <c r="G1407" s="111"/>
      <c r="H1407" s="111"/>
      <c r="I1407" s="111"/>
      <c r="J1407" s="111"/>
      <c r="K1407" s="111"/>
      <c r="L1407" s="111"/>
      <c r="M1407" s="111"/>
      <c r="N1407" s="111"/>
      <c r="O1407" s="111"/>
      <c r="P1407" s="111"/>
      <c r="Q1407" s="111"/>
      <c r="R1407" s="111"/>
      <c r="S1407" s="111"/>
      <c r="T1407" s="111"/>
      <c r="U1407" s="111"/>
      <c r="V1407" s="111"/>
      <c r="W1407" s="111"/>
      <c r="X1407" s="111"/>
      <c r="Y1407" s="111"/>
      <c r="Z1407" s="111"/>
      <c r="AA1407" s="111"/>
      <c r="AB1407" s="111"/>
      <c r="AC1407" s="111"/>
      <c r="AD1407" s="111"/>
      <c r="AE1407" s="111"/>
      <c r="AF1407" s="111"/>
      <c r="AG1407" s="111"/>
      <c r="AH1407" s="111"/>
      <c r="AI1407" s="111"/>
    </row>
    <row r="1408" spans="1:35" ht="18.75" customHeight="1">
      <c r="A1408" s="168"/>
      <c r="B1408" s="168"/>
      <c r="C1408" s="168"/>
      <c r="D1408" s="111"/>
      <c r="E1408" s="111"/>
      <c r="F1408" s="111"/>
      <c r="G1408" s="111"/>
      <c r="H1408" s="111"/>
      <c r="I1408" s="111"/>
      <c r="J1408" s="111"/>
      <c r="K1408" s="111"/>
      <c r="L1408" s="111"/>
      <c r="M1408" s="111"/>
      <c r="N1408" s="111"/>
      <c r="O1408" s="111"/>
      <c r="P1408" s="111"/>
      <c r="Q1408" s="111"/>
      <c r="R1408" s="111"/>
      <c r="S1408" s="111"/>
      <c r="T1408" s="111"/>
      <c r="U1408" s="111"/>
      <c r="V1408" s="111"/>
      <c r="W1408" s="111"/>
      <c r="X1408" s="111"/>
      <c r="Y1408" s="111"/>
      <c r="Z1408" s="111"/>
      <c r="AA1408" s="111"/>
      <c r="AB1408" s="111"/>
      <c r="AC1408" s="111"/>
      <c r="AD1408" s="111"/>
      <c r="AE1408" s="111"/>
      <c r="AF1408" s="111"/>
      <c r="AG1408" s="111"/>
      <c r="AH1408" s="111"/>
      <c r="AI1408" s="111"/>
    </row>
    <row r="1409" spans="1:35" ht="18.75" customHeight="1">
      <c r="A1409" s="168"/>
      <c r="B1409" s="168"/>
      <c r="C1409" s="168"/>
      <c r="D1409" s="111"/>
      <c r="E1409" s="111"/>
      <c r="F1409" s="111"/>
      <c r="G1409" s="111"/>
      <c r="H1409" s="111"/>
      <c r="I1409" s="111"/>
      <c r="J1409" s="111"/>
      <c r="K1409" s="111"/>
      <c r="L1409" s="111"/>
      <c r="M1409" s="111"/>
      <c r="N1409" s="111"/>
      <c r="O1409" s="111"/>
      <c r="P1409" s="111"/>
      <c r="Q1409" s="111"/>
      <c r="R1409" s="111"/>
      <c r="S1409" s="111"/>
      <c r="T1409" s="111"/>
      <c r="U1409" s="111"/>
      <c r="V1409" s="111"/>
      <c r="W1409" s="111"/>
      <c r="X1409" s="111"/>
      <c r="Y1409" s="111"/>
      <c r="Z1409" s="111"/>
      <c r="AA1409" s="111"/>
      <c r="AB1409" s="111"/>
      <c r="AC1409" s="111"/>
      <c r="AD1409" s="111"/>
      <c r="AE1409" s="111"/>
      <c r="AF1409" s="111"/>
      <c r="AG1409" s="111"/>
      <c r="AH1409" s="111"/>
      <c r="AI1409" s="111"/>
    </row>
    <row r="1410" spans="1:35" ht="18.75" customHeight="1">
      <c r="A1410" s="168"/>
      <c r="B1410" s="168"/>
      <c r="C1410" s="168"/>
      <c r="D1410" s="111"/>
      <c r="E1410" s="111"/>
      <c r="F1410" s="111"/>
      <c r="G1410" s="111"/>
      <c r="H1410" s="111"/>
      <c r="I1410" s="111"/>
      <c r="J1410" s="111"/>
      <c r="K1410" s="111"/>
      <c r="L1410" s="111"/>
      <c r="M1410" s="111"/>
      <c r="N1410" s="111"/>
      <c r="O1410" s="111"/>
      <c r="P1410" s="111"/>
      <c r="Q1410" s="111"/>
      <c r="R1410" s="111"/>
      <c r="S1410" s="111"/>
      <c r="T1410" s="111"/>
      <c r="U1410" s="111"/>
      <c r="V1410" s="111"/>
      <c r="W1410" s="111"/>
      <c r="X1410" s="111"/>
      <c r="Y1410" s="111"/>
      <c r="Z1410" s="111"/>
      <c r="AA1410" s="111"/>
      <c r="AB1410" s="111"/>
      <c r="AC1410" s="111"/>
      <c r="AD1410" s="111"/>
      <c r="AE1410" s="111"/>
      <c r="AF1410" s="111"/>
      <c r="AG1410" s="111"/>
      <c r="AH1410" s="111"/>
      <c r="AI1410" s="111"/>
    </row>
    <row r="1411" spans="1:35" ht="18.75" customHeight="1">
      <c r="A1411" s="168"/>
      <c r="B1411" s="168"/>
      <c r="C1411" s="168"/>
      <c r="D1411" s="111"/>
      <c r="E1411" s="111"/>
      <c r="F1411" s="111"/>
      <c r="G1411" s="111"/>
      <c r="H1411" s="111"/>
      <c r="I1411" s="111"/>
      <c r="J1411" s="111"/>
      <c r="K1411" s="111"/>
      <c r="L1411" s="111"/>
      <c r="M1411" s="111"/>
      <c r="N1411" s="111"/>
      <c r="O1411" s="111"/>
      <c r="P1411" s="111"/>
      <c r="Q1411" s="111"/>
      <c r="R1411" s="111"/>
      <c r="S1411" s="111"/>
      <c r="T1411" s="111"/>
      <c r="U1411" s="111"/>
      <c r="V1411" s="111"/>
      <c r="W1411" s="111"/>
      <c r="X1411" s="111"/>
      <c r="Y1411" s="111"/>
      <c r="Z1411" s="111"/>
      <c r="AA1411" s="111"/>
      <c r="AB1411" s="111"/>
      <c r="AC1411" s="111"/>
      <c r="AD1411" s="111"/>
      <c r="AE1411" s="111"/>
      <c r="AF1411" s="111"/>
      <c r="AG1411" s="111"/>
      <c r="AH1411" s="111"/>
      <c r="AI1411" s="111"/>
    </row>
    <row r="1412" spans="1:35" ht="18.75" customHeight="1">
      <c r="A1412" s="168"/>
      <c r="B1412" s="168"/>
      <c r="C1412" s="168"/>
      <c r="D1412" s="111"/>
      <c r="E1412" s="111"/>
      <c r="F1412" s="111"/>
      <c r="G1412" s="111"/>
      <c r="H1412" s="111"/>
      <c r="I1412" s="111"/>
      <c r="J1412" s="111"/>
      <c r="K1412" s="111"/>
      <c r="L1412" s="111"/>
      <c r="M1412" s="111"/>
      <c r="N1412" s="111"/>
      <c r="O1412" s="111"/>
      <c r="P1412" s="111"/>
      <c r="Q1412" s="111"/>
      <c r="R1412" s="111"/>
      <c r="S1412" s="111"/>
      <c r="T1412" s="111"/>
      <c r="U1412" s="111"/>
      <c r="V1412" s="111"/>
      <c r="W1412" s="111"/>
      <c r="X1412" s="111"/>
      <c r="Y1412" s="111"/>
      <c r="Z1412" s="111"/>
      <c r="AA1412" s="111"/>
      <c r="AB1412" s="111"/>
      <c r="AC1412" s="111"/>
      <c r="AD1412" s="111"/>
      <c r="AE1412" s="111"/>
      <c r="AF1412" s="111"/>
      <c r="AG1412" s="111"/>
      <c r="AH1412" s="111"/>
      <c r="AI1412" s="111"/>
    </row>
    <row r="1413" spans="1:35" ht="18.75" customHeight="1">
      <c r="A1413" s="168"/>
      <c r="B1413" s="168"/>
      <c r="C1413" s="168"/>
      <c r="D1413" s="111"/>
      <c r="E1413" s="111"/>
      <c r="F1413" s="111"/>
      <c r="G1413" s="111"/>
      <c r="H1413" s="111"/>
      <c r="I1413" s="111"/>
      <c r="J1413" s="111"/>
      <c r="K1413" s="111"/>
      <c r="L1413" s="111"/>
      <c r="M1413" s="111"/>
      <c r="N1413" s="111"/>
      <c r="O1413" s="111"/>
      <c r="P1413" s="111"/>
      <c r="Q1413" s="111"/>
      <c r="R1413" s="111"/>
      <c r="S1413" s="111"/>
      <c r="T1413" s="111"/>
      <c r="U1413" s="111"/>
      <c r="V1413" s="111"/>
      <c r="W1413" s="111"/>
      <c r="X1413" s="111"/>
      <c r="Y1413" s="111"/>
      <c r="Z1413" s="111"/>
      <c r="AA1413" s="111"/>
      <c r="AB1413" s="111"/>
      <c r="AC1413" s="111"/>
      <c r="AD1413" s="111"/>
      <c r="AE1413" s="111"/>
      <c r="AF1413" s="111"/>
      <c r="AG1413" s="111"/>
      <c r="AH1413" s="111"/>
      <c r="AI1413" s="111"/>
    </row>
    <row r="1414" spans="1:35" ht="18.75" customHeight="1">
      <c r="A1414" s="168"/>
      <c r="B1414" s="168"/>
      <c r="C1414" s="168"/>
      <c r="D1414" s="111"/>
      <c r="E1414" s="111"/>
      <c r="F1414" s="111"/>
      <c r="G1414" s="111"/>
      <c r="H1414" s="111"/>
      <c r="I1414" s="111"/>
      <c r="J1414" s="111"/>
      <c r="K1414" s="111"/>
      <c r="L1414" s="111"/>
      <c r="M1414" s="111"/>
      <c r="N1414" s="111"/>
      <c r="O1414" s="111"/>
      <c r="P1414" s="111"/>
      <c r="Q1414" s="111"/>
      <c r="R1414" s="111"/>
      <c r="S1414" s="111"/>
      <c r="T1414" s="111"/>
      <c r="U1414" s="111"/>
      <c r="V1414" s="111"/>
      <c r="W1414" s="111"/>
      <c r="X1414" s="111"/>
      <c r="Y1414" s="111"/>
      <c r="Z1414" s="111"/>
      <c r="AA1414" s="111"/>
      <c r="AB1414" s="111"/>
      <c r="AC1414" s="111"/>
      <c r="AD1414" s="111"/>
      <c r="AE1414" s="111"/>
      <c r="AF1414" s="111"/>
      <c r="AG1414" s="111"/>
      <c r="AH1414" s="111"/>
      <c r="AI1414" s="111"/>
    </row>
    <row r="1415" spans="1:35" ht="18.75" customHeight="1">
      <c r="A1415" s="168"/>
      <c r="B1415" s="168"/>
      <c r="C1415" s="168"/>
      <c r="D1415" s="111"/>
      <c r="E1415" s="111"/>
      <c r="F1415" s="111"/>
      <c r="G1415" s="111"/>
      <c r="H1415" s="111"/>
      <c r="I1415" s="111"/>
      <c r="J1415" s="111"/>
      <c r="K1415" s="111"/>
      <c r="L1415" s="111"/>
      <c r="M1415" s="111"/>
      <c r="N1415" s="111"/>
      <c r="O1415" s="111"/>
      <c r="P1415" s="111"/>
      <c r="Q1415" s="111"/>
      <c r="R1415" s="111"/>
      <c r="S1415" s="111"/>
      <c r="T1415" s="111"/>
      <c r="U1415" s="111"/>
      <c r="V1415" s="111"/>
      <c r="W1415" s="111"/>
      <c r="X1415" s="111"/>
      <c r="Y1415" s="111"/>
      <c r="Z1415" s="111"/>
      <c r="AA1415" s="111"/>
      <c r="AB1415" s="111"/>
      <c r="AC1415" s="111"/>
      <c r="AD1415" s="111"/>
      <c r="AE1415" s="111"/>
      <c r="AF1415" s="111"/>
      <c r="AG1415" s="111"/>
      <c r="AH1415" s="111"/>
      <c r="AI1415" s="111"/>
    </row>
    <row r="1416" spans="1:35" ht="18.75" customHeight="1">
      <c r="A1416" s="168"/>
      <c r="B1416" s="168"/>
      <c r="C1416" s="168"/>
      <c r="D1416" s="111"/>
      <c r="E1416" s="111"/>
      <c r="F1416" s="111"/>
      <c r="G1416" s="111"/>
      <c r="H1416" s="111"/>
      <c r="I1416" s="111"/>
      <c r="J1416" s="111"/>
      <c r="K1416" s="111"/>
      <c r="L1416" s="111"/>
      <c r="M1416" s="111"/>
      <c r="N1416" s="111"/>
      <c r="O1416" s="111"/>
      <c r="P1416" s="111"/>
      <c r="Q1416" s="111"/>
      <c r="R1416" s="111"/>
      <c r="S1416" s="111"/>
      <c r="T1416" s="111"/>
      <c r="U1416" s="111"/>
      <c r="V1416" s="111"/>
      <c r="W1416" s="111"/>
      <c r="X1416" s="111"/>
      <c r="Y1416" s="111"/>
      <c r="Z1416" s="111"/>
      <c r="AA1416" s="111"/>
      <c r="AB1416" s="111"/>
      <c r="AC1416" s="111"/>
      <c r="AD1416" s="111"/>
      <c r="AE1416" s="111"/>
      <c r="AF1416" s="111"/>
      <c r="AG1416" s="111"/>
      <c r="AH1416" s="111"/>
      <c r="AI1416" s="111"/>
    </row>
    <row r="1417" spans="1:35" ht="18.75" customHeight="1">
      <c r="A1417" s="168"/>
      <c r="B1417" s="168"/>
      <c r="C1417" s="168"/>
      <c r="D1417" s="111"/>
      <c r="E1417" s="111"/>
      <c r="F1417" s="111"/>
      <c r="G1417" s="111"/>
      <c r="H1417" s="111"/>
      <c r="I1417" s="111"/>
      <c r="J1417" s="111"/>
      <c r="K1417" s="111"/>
      <c r="L1417" s="111"/>
      <c r="M1417" s="111"/>
      <c r="N1417" s="111"/>
      <c r="O1417" s="111"/>
      <c r="P1417" s="111"/>
      <c r="Q1417" s="111"/>
      <c r="R1417" s="111"/>
      <c r="S1417" s="111"/>
      <c r="T1417" s="111"/>
      <c r="U1417" s="111"/>
      <c r="V1417" s="111"/>
      <c r="W1417" s="111"/>
      <c r="X1417" s="111"/>
      <c r="Y1417" s="111"/>
      <c r="Z1417" s="111"/>
      <c r="AA1417" s="111"/>
      <c r="AB1417" s="111"/>
      <c r="AC1417" s="111"/>
      <c r="AD1417" s="111"/>
      <c r="AE1417" s="111"/>
      <c r="AF1417" s="111"/>
      <c r="AG1417" s="111"/>
      <c r="AH1417" s="111"/>
      <c r="AI1417" s="111"/>
    </row>
    <row r="1418" spans="1:35" ht="18.75" customHeight="1">
      <c r="A1418" s="168"/>
      <c r="B1418" s="168"/>
      <c r="C1418" s="168"/>
      <c r="D1418" s="111"/>
      <c r="E1418" s="111"/>
      <c r="F1418" s="111"/>
      <c r="G1418" s="111"/>
      <c r="H1418" s="111"/>
      <c r="I1418" s="111"/>
      <c r="J1418" s="111"/>
      <c r="K1418" s="111"/>
      <c r="L1418" s="111"/>
      <c r="M1418" s="111"/>
      <c r="N1418" s="111"/>
      <c r="O1418" s="111"/>
      <c r="P1418" s="111"/>
      <c r="Q1418" s="111"/>
      <c r="R1418" s="111"/>
      <c r="S1418" s="111"/>
      <c r="T1418" s="111"/>
      <c r="U1418" s="111"/>
      <c r="V1418" s="111"/>
      <c r="W1418" s="111"/>
      <c r="X1418" s="111"/>
      <c r="Y1418" s="111"/>
      <c r="Z1418" s="111"/>
      <c r="AA1418" s="111"/>
      <c r="AB1418" s="111"/>
      <c r="AC1418" s="111"/>
      <c r="AD1418" s="111"/>
      <c r="AE1418" s="111"/>
      <c r="AF1418" s="111"/>
      <c r="AG1418" s="111"/>
      <c r="AH1418" s="111"/>
      <c r="AI1418" s="111"/>
    </row>
    <row r="1419" spans="1:35" ht="18.75" customHeight="1">
      <c r="A1419" s="168"/>
      <c r="B1419" s="168"/>
      <c r="C1419" s="168"/>
      <c r="D1419" s="111"/>
      <c r="E1419" s="111"/>
      <c r="F1419" s="111"/>
      <c r="G1419" s="111"/>
      <c r="H1419" s="111"/>
      <c r="I1419" s="111"/>
      <c r="J1419" s="111"/>
      <c r="K1419" s="111"/>
      <c r="L1419" s="111"/>
      <c r="M1419" s="111"/>
      <c r="N1419" s="111"/>
      <c r="O1419" s="111"/>
      <c r="P1419" s="111"/>
      <c r="Q1419" s="111"/>
      <c r="R1419" s="111"/>
      <c r="S1419" s="111"/>
      <c r="T1419" s="111"/>
      <c r="U1419" s="111"/>
      <c r="V1419" s="111"/>
      <c r="W1419" s="111"/>
      <c r="X1419" s="111"/>
      <c r="Y1419" s="111"/>
      <c r="Z1419" s="111"/>
      <c r="AA1419" s="111"/>
      <c r="AB1419" s="111"/>
      <c r="AC1419" s="111"/>
      <c r="AD1419" s="111"/>
      <c r="AE1419" s="111"/>
      <c r="AF1419" s="111"/>
      <c r="AG1419" s="111"/>
      <c r="AH1419" s="111"/>
      <c r="AI1419" s="111"/>
    </row>
    <row r="1420" spans="1:35" ht="18.75" customHeight="1">
      <c r="A1420" s="168"/>
      <c r="B1420" s="168"/>
      <c r="C1420" s="168"/>
      <c r="D1420" s="111"/>
      <c r="E1420" s="111"/>
      <c r="F1420" s="111"/>
      <c r="G1420" s="111"/>
      <c r="H1420" s="111"/>
      <c r="I1420" s="111"/>
      <c r="J1420" s="111"/>
      <c r="K1420" s="111"/>
      <c r="L1420" s="111"/>
      <c r="M1420" s="111"/>
      <c r="N1420" s="111"/>
      <c r="O1420" s="111"/>
      <c r="P1420" s="111"/>
      <c r="Q1420" s="111"/>
      <c r="R1420" s="111"/>
      <c r="S1420" s="111"/>
      <c r="T1420" s="111"/>
      <c r="U1420" s="111"/>
      <c r="V1420" s="111"/>
      <c r="W1420" s="111"/>
      <c r="X1420" s="111"/>
      <c r="Y1420" s="111"/>
      <c r="Z1420" s="111"/>
      <c r="AA1420" s="111"/>
      <c r="AB1420" s="111"/>
      <c r="AC1420" s="111"/>
      <c r="AD1420" s="111"/>
      <c r="AE1420" s="111"/>
      <c r="AF1420" s="111"/>
      <c r="AG1420" s="111"/>
      <c r="AH1420" s="111"/>
      <c r="AI1420" s="111"/>
    </row>
    <row r="1421" spans="1:35" ht="18.75" customHeight="1">
      <c r="A1421" s="168"/>
      <c r="B1421" s="168"/>
      <c r="C1421" s="168"/>
      <c r="D1421" s="111"/>
      <c r="E1421" s="111"/>
      <c r="F1421" s="111"/>
      <c r="G1421" s="111"/>
      <c r="H1421" s="111"/>
      <c r="I1421" s="111"/>
      <c r="J1421" s="111"/>
      <c r="K1421" s="111"/>
      <c r="L1421" s="111"/>
      <c r="M1421" s="111"/>
      <c r="N1421" s="111"/>
      <c r="O1421" s="111"/>
      <c r="P1421" s="111"/>
      <c r="Q1421" s="111"/>
      <c r="R1421" s="111"/>
      <c r="S1421" s="111"/>
      <c r="T1421" s="111"/>
      <c r="U1421" s="111"/>
      <c r="V1421" s="111"/>
      <c r="W1421" s="111"/>
      <c r="X1421" s="111"/>
      <c r="Y1421" s="111"/>
      <c r="Z1421" s="111"/>
      <c r="AA1421" s="111"/>
      <c r="AB1421" s="111"/>
      <c r="AC1421" s="111"/>
      <c r="AD1421" s="111"/>
      <c r="AE1421" s="111"/>
      <c r="AF1421" s="111"/>
      <c r="AG1421" s="111"/>
      <c r="AH1421" s="111"/>
      <c r="AI1421" s="111"/>
    </row>
    <row r="1422" spans="1:35" ht="18.75" customHeight="1">
      <c r="A1422" s="168"/>
      <c r="B1422" s="168"/>
      <c r="C1422" s="168"/>
      <c r="D1422" s="111"/>
      <c r="E1422" s="111"/>
      <c r="F1422" s="111"/>
      <c r="G1422" s="111"/>
      <c r="H1422" s="111"/>
      <c r="I1422" s="111"/>
      <c r="J1422" s="111"/>
      <c r="K1422" s="111"/>
      <c r="L1422" s="111"/>
      <c r="M1422" s="111"/>
      <c r="N1422" s="111"/>
      <c r="O1422" s="111"/>
      <c r="P1422" s="111"/>
      <c r="Q1422" s="111"/>
      <c r="R1422" s="111"/>
      <c r="S1422" s="111"/>
      <c r="T1422" s="111"/>
      <c r="U1422" s="111"/>
      <c r="V1422" s="111"/>
      <c r="W1422" s="111"/>
      <c r="X1422" s="111"/>
      <c r="Y1422" s="111"/>
      <c r="Z1422" s="111"/>
      <c r="AA1422" s="111"/>
      <c r="AB1422" s="111"/>
      <c r="AC1422" s="111"/>
      <c r="AD1422" s="111"/>
      <c r="AE1422" s="111"/>
      <c r="AF1422" s="111"/>
      <c r="AG1422" s="111"/>
      <c r="AH1422" s="111"/>
      <c r="AI1422" s="111"/>
    </row>
    <row r="1423" spans="1:35" ht="18.75" customHeight="1">
      <c r="A1423" s="168"/>
      <c r="B1423" s="168"/>
      <c r="C1423" s="168"/>
      <c r="D1423" s="111"/>
      <c r="E1423" s="111"/>
      <c r="F1423" s="111"/>
      <c r="G1423" s="111"/>
      <c r="H1423" s="111"/>
      <c r="I1423" s="111"/>
      <c r="J1423" s="111"/>
      <c r="K1423" s="111"/>
      <c r="L1423" s="111"/>
      <c r="M1423" s="111"/>
      <c r="N1423" s="111"/>
      <c r="O1423" s="111"/>
      <c r="P1423" s="111"/>
      <c r="Q1423" s="111"/>
      <c r="R1423" s="111"/>
      <c r="S1423" s="111"/>
      <c r="T1423" s="111"/>
      <c r="U1423" s="111"/>
      <c r="V1423" s="111"/>
      <c r="W1423" s="111"/>
      <c r="X1423" s="111"/>
      <c r="Y1423" s="111"/>
      <c r="Z1423" s="111"/>
      <c r="AA1423" s="111"/>
      <c r="AB1423" s="111"/>
      <c r="AC1423" s="111"/>
      <c r="AD1423" s="111"/>
      <c r="AE1423" s="111"/>
      <c r="AF1423" s="111"/>
      <c r="AG1423" s="111"/>
      <c r="AH1423" s="111"/>
      <c r="AI1423" s="111"/>
    </row>
    <row r="1424" spans="1:35" ht="18.75" customHeight="1">
      <c r="A1424" s="168"/>
      <c r="B1424" s="168"/>
      <c r="C1424" s="168"/>
      <c r="D1424" s="111"/>
      <c r="E1424" s="111"/>
      <c r="F1424" s="111"/>
      <c r="G1424" s="111"/>
      <c r="H1424" s="111"/>
      <c r="I1424" s="111"/>
      <c r="J1424" s="111"/>
      <c r="K1424" s="111"/>
      <c r="L1424" s="111"/>
      <c r="M1424" s="111"/>
      <c r="N1424" s="111"/>
      <c r="O1424" s="111"/>
      <c r="P1424" s="111"/>
      <c r="Q1424" s="111"/>
      <c r="R1424" s="111"/>
      <c r="S1424" s="111"/>
      <c r="T1424" s="111"/>
      <c r="U1424" s="111"/>
      <c r="V1424" s="111"/>
      <c r="W1424" s="111"/>
      <c r="X1424" s="111"/>
      <c r="Y1424" s="111"/>
      <c r="Z1424" s="111"/>
      <c r="AA1424" s="111"/>
      <c r="AB1424" s="111"/>
      <c r="AC1424" s="111"/>
      <c r="AD1424" s="111"/>
      <c r="AE1424" s="111"/>
      <c r="AF1424" s="111"/>
      <c r="AG1424" s="111"/>
      <c r="AH1424" s="111"/>
      <c r="AI1424" s="111"/>
    </row>
    <row r="1425" spans="1:35" ht="30.75">
      <c r="A1425" s="168"/>
      <c r="B1425" s="168"/>
      <c r="C1425" s="168"/>
      <c r="D1425" s="111"/>
      <c r="E1425" s="111"/>
      <c r="F1425" s="111"/>
      <c r="G1425" s="111"/>
      <c r="H1425" s="111"/>
      <c r="I1425" s="111"/>
      <c r="J1425" s="111"/>
      <c r="K1425" s="111"/>
      <c r="L1425" s="111"/>
      <c r="M1425" s="111"/>
      <c r="N1425" s="111"/>
      <c r="O1425" s="111"/>
      <c r="P1425" s="111"/>
      <c r="Q1425" s="111"/>
      <c r="R1425" s="111"/>
      <c r="S1425" s="111"/>
      <c r="T1425" s="111"/>
      <c r="U1425" s="111"/>
      <c r="V1425" s="111"/>
      <c r="W1425" s="111"/>
      <c r="X1425" s="111"/>
      <c r="Y1425" s="111"/>
      <c r="Z1425" s="111"/>
      <c r="AA1425" s="111"/>
      <c r="AB1425" s="111"/>
      <c r="AC1425" s="111"/>
      <c r="AD1425" s="111"/>
      <c r="AE1425" s="111"/>
      <c r="AF1425" s="111"/>
      <c r="AG1425" s="111"/>
      <c r="AH1425" s="111"/>
      <c r="AI1425" s="111"/>
    </row>
    <row r="1426" spans="1:35" ht="30.75">
      <c r="A1426" s="168"/>
      <c r="B1426" s="168"/>
      <c r="C1426" s="168"/>
      <c r="D1426" s="111"/>
      <c r="E1426" s="111"/>
      <c r="F1426" s="111"/>
      <c r="G1426" s="111"/>
      <c r="H1426" s="111"/>
      <c r="I1426" s="111"/>
      <c r="J1426" s="111"/>
      <c r="K1426" s="111"/>
      <c r="L1426" s="111"/>
      <c r="M1426" s="111"/>
      <c r="N1426" s="111"/>
      <c r="O1426" s="111"/>
      <c r="P1426" s="111"/>
      <c r="Q1426" s="111"/>
      <c r="R1426" s="111"/>
      <c r="S1426" s="111"/>
      <c r="T1426" s="111"/>
      <c r="U1426" s="111"/>
      <c r="V1426" s="111"/>
      <c r="W1426" s="111"/>
      <c r="X1426" s="111"/>
      <c r="Y1426" s="111"/>
      <c r="Z1426" s="111"/>
      <c r="AA1426" s="111"/>
      <c r="AB1426" s="111"/>
      <c r="AC1426" s="111"/>
      <c r="AD1426" s="111"/>
      <c r="AE1426" s="111"/>
      <c r="AF1426" s="111"/>
      <c r="AG1426" s="111"/>
      <c r="AH1426" s="111"/>
      <c r="AI1426" s="111"/>
    </row>
    <row r="1427" spans="1:35" ht="30.75">
      <c r="A1427" s="168"/>
      <c r="B1427" s="168"/>
      <c r="C1427" s="168"/>
      <c r="D1427" s="111"/>
      <c r="E1427" s="111"/>
      <c r="F1427" s="111"/>
      <c r="G1427" s="111"/>
      <c r="H1427" s="111"/>
      <c r="I1427" s="111"/>
      <c r="J1427" s="111"/>
      <c r="K1427" s="111"/>
      <c r="L1427" s="111"/>
      <c r="M1427" s="111"/>
      <c r="N1427" s="111"/>
      <c r="O1427" s="111"/>
      <c r="P1427" s="111"/>
      <c r="Q1427" s="111"/>
      <c r="R1427" s="111"/>
      <c r="S1427" s="111"/>
      <c r="T1427" s="111"/>
      <c r="U1427" s="111"/>
      <c r="V1427" s="111"/>
      <c r="W1427" s="111"/>
      <c r="X1427" s="111"/>
      <c r="Y1427" s="111"/>
      <c r="Z1427" s="111"/>
      <c r="AA1427" s="111"/>
      <c r="AB1427" s="111"/>
      <c r="AC1427" s="111"/>
      <c r="AD1427" s="111"/>
      <c r="AE1427" s="111"/>
      <c r="AF1427" s="111"/>
      <c r="AG1427" s="111"/>
      <c r="AH1427" s="111"/>
      <c r="AI1427" s="111"/>
    </row>
    <row r="1428" spans="1:35" ht="30.75">
      <c r="A1428" s="168"/>
      <c r="B1428" s="168"/>
      <c r="C1428" s="168"/>
      <c r="D1428" s="111"/>
      <c r="E1428" s="111"/>
      <c r="F1428" s="111"/>
      <c r="G1428" s="111"/>
      <c r="H1428" s="111"/>
      <c r="I1428" s="111"/>
      <c r="J1428" s="111"/>
      <c r="K1428" s="111"/>
      <c r="L1428" s="111"/>
      <c r="M1428" s="111"/>
      <c r="N1428" s="111"/>
      <c r="O1428" s="111"/>
      <c r="P1428" s="111"/>
      <c r="Q1428" s="111"/>
      <c r="R1428" s="111"/>
      <c r="S1428" s="111"/>
      <c r="T1428" s="111"/>
      <c r="U1428" s="111"/>
      <c r="V1428" s="111"/>
      <c r="W1428" s="111"/>
      <c r="X1428" s="111"/>
      <c r="Y1428" s="111"/>
      <c r="Z1428" s="111"/>
      <c r="AA1428" s="111"/>
      <c r="AB1428" s="111"/>
      <c r="AC1428" s="111"/>
      <c r="AD1428" s="111"/>
      <c r="AE1428" s="111"/>
      <c r="AF1428" s="111"/>
      <c r="AG1428" s="111"/>
      <c r="AH1428" s="111"/>
      <c r="AI1428" s="111"/>
    </row>
    <row r="1429" spans="1:35" ht="18.75">
      <c r="A1429" s="111"/>
      <c r="B1429" s="139"/>
      <c r="C1429" s="111"/>
      <c r="D1429" s="111"/>
      <c r="E1429" s="111"/>
      <c r="F1429" s="111"/>
      <c r="G1429" s="111"/>
      <c r="H1429" s="111"/>
      <c r="I1429" s="111"/>
      <c r="J1429" s="111"/>
      <c r="K1429" s="111"/>
      <c r="L1429" s="111"/>
      <c r="M1429" s="111"/>
      <c r="N1429" s="111"/>
      <c r="O1429" s="111"/>
      <c r="P1429" s="111"/>
      <c r="Q1429" s="111"/>
      <c r="R1429" s="111"/>
      <c r="S1429" s="111"/>
      <c r="T1429" s="111"/>
      <c r="U1429" s="111"/>
      <c r="V1429" s="111"/>
      <c r="W1429" s="111"/>
      <c r="X1429" s="111"/>
      <c r="Y1429" s="111"/>
      <c r="Z1429" s="111"/>
      <c r="AA1429" s="111"/>
      <c r="AB1429" s="111"/>
      <c r="AC1429" s="111"/>
      <c r="AD1429" s="111"/>
      <c r="AE1429" s="111"/>
      <c r="AF1429" s="111"/>
      <c r="AG1429" s="111"/>
      <c r="AH1429" s="111"/>
      <c r="AI1429" s="111"/>
    </row>
    <row r="1430" spans="1:35" ht="18.75">
      <c r="A1430" s="111"/>
      <c r="B1430" s="139"/>
      <c r="C1430" s="111"/>
      <c r="D1430" s="111"/>
      <c r="E1430" s="111"/>
      <c r="F1430" s="111"/>
      <c r="G1430" s="111"/>
      <c r="H1430" s="111"/>
      <c r="I1430" s="111"/>
      <c r="J1430" s="111"/>
      <c r="K1430" s="111"/>
      <c r="L1430" s="111"/>
      <c r="M1430" s="111"/>
      <c r="N1430" s="111"/>
      <c r="O1430" s="111"/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/>
      <c r="AB1430" s="111"/>
      <c r="AC1430" s="111"/>
      <c r="AD1430" s="111"/>
      <c r="AE1430" s="111"/>
      <c r="AF1430" s="111"/>
      <c r="AG1430" s="111"/>
      <c r="AH1430" s="111"/>
      <c r="AI1430" s="111"/>
    </row>
    <row r="1431" spans="1:35" ht="18.75">
      <c r="A1431" s="111"/>
      <c r="B1431" s="139"/>
      <c r="C1431" s="111"/>
      <c r="D1431" s="111"/>
      <c r="E1431" s="111"/>
      <c r="F1431" s="111"/>
      <c r="G1431" s="111"/>
      <c r="H1431" s="111"/>
      <c r="I1431" s="111"/>
      <c r="J1431" s="111"/>
      <c r="K1431" s="111"/>
      <c r="L1431" s="111"/>
      <c r="M1431" s="111"/>
      <c r="N1431" s="111"/>
      <c r="O1431" s="111"/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/>
      <c r="AB1431" s="111"/>
      <c r="AC1431" s="111"/>
      <c r="AD1431" s="111"/>
      <c r="AE1431" s="111"/>
      <c r="AF1431" s="111"/>
      <c r="AG1431" s="111"/>
      <c r="AH1431" s="111"/>
      <c r="AI1431" s="111"/>
    </row>
    <row r="1432" spans="1:35" ht="18.75">
      <c r="A1432" s="111"/>
      <c r="B1432" s="139"/>
      <c r="C1432" s="111"/>
      <c r="D1432" s="111"/>
      <c r="E1432" s="111"/>
      <c r="F1432" s="111"/>
      <c r="G1432" s="111"/>
      <c r="H1432" s="111"/>
      <c r="I1432" s="111"/>
      <c r="J1432" s="111"/>
      <c r="K1432" s="111"/>
      <c r="L1432" s="111"/>
      <c r="M1432" s="111"/>
      <c r="N1432" s="111"/>
      <c r="O1432" s="111"/>
      <c r="P1432" s="111"/>
      <c r="Q1432" s="111"/>
      <c r="R1432" s="111"/>
      <c r="S1432" s="111"/>
      <c r="T1432" s="111"/>
      <c r="U1432" s="111"/>
      <c r="V1432" s="111"/>
      <c r="W1432" s="111"/>
      <c r="X1432" s="111"/>
      <c r="Y1432" s="111"/>
      <c r="Z1432" s="111"/>
      <c r="AA1432" s="111"/>
      <c r="AB1432" s="111"/>
      <c r="AC1432" s="111"/>
      <c r="AD1432" s="111"/>
      <c r="AE1432" s="111"/>
      <c r="AF1432" s="111"/>
      <c r="AG1432" s="111"/>
      <c r="AH1432" s="111"/>
      <c r="AI1432" s="111"/>
    </row>
    <row r="1433" spans="1:35" ht="18.75">
      <c r="A1433" s="111"/>
      <c r="B1433" s="139"/>
      <c r="C1433" s="111"/>
      <c r="D1433" s="111"/>
      <c r="E1433" s="111"/>
      <c r="F1433" s="111"/>
      <c r="G1433" s="111"/>
      <c r="H1433" s="111"/>
      <c r="I1433" s="111"/>
      <c r="J1433" s="111"/>
      <c r="K1433" s="111"/>
      <c r="L1433" s="111"/>
      <c r="M1433" s="111"/>
      <c r="N1433" s="111"/>
      <c r="O1433" s="111"/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/>
      <c r="AB1433" s="111"/>
      <c r="AC1433" s="111"/>
      <c r="AD1433" s="111"/>
      <c r="AE1433" s="111"/>
      <c r="AF1433" s="111"/>
      <c r="AG1433" s="111"/>
      <c r="AH1433" s="111"/>
      <c r="AI1433" s="111"/>
    </row>
    <row r="1434" spans="1:35" ht="18.75">
      <c r="A1434" s="111"/>
      <c r="B1434" s="139"/>
      <c r="C1434" s="111"/>
      <c r="D1434" s="111"/>
      <c r="E1434" s="111"/>
      <c r="F1434" s="111"/>
      <c r="G1434" s="111"/>
      <c r="H1434" s="111"/>
      <c r="I1434" s="111"/>
      <c r="J1434" s="111"/>
      <c r="K1434" s="111"/>
      <c r="L1434" s="111"/>
      <c r="M1434" s="111"/>
      <c r="N1434" s="111"/>
      <c r="O1434" s="111"/>
      <c r="P1434" s="111"/>
      <c r="Q1434" s="111"/>
      <c r="R1434" s="111"/>
      <c r="S1434" s="111"/>
      <c r="T1434" s="111"/>
      <c r="U1434" s="111"/>
      <c r="V1434" s="111"/>
      <c r="W1434" s="111"/>
      <c r="X1434" s="111"/>
      <c r="Y1434" s="111"/>
      <c r="Z1434" s="111"/>
      <c r="AA1434" s="111"/>
      <c r="AB1434" s="111"/>
      <c r="AC1434" s="111"/>
      <c r="AD1434" s="111"/>
      <c r="AE1434" s="111"/>
      <c r="AF1434" s="111"/>
      <c r="AG1434" s="111"/>
      <c r="AH1434" s="111"/>
      <c r="AI1434" s="111"/>
    </row>
    <row r="1435" spans="1:35" ht="18.75">
      <c r="A1435" s="111"/>
      <c r="B1435" s="139"/>
      <c r="C1435" s="111"/>
      <c r="D1435" s="111"/>
      <c r="E1435" s="111"/>
      <c r="F1435" s="111"/>
      <c r="G1435" s="111"/>
      <c r="H1435" s="111"/>
      <c r="I1435" s="111"/>
      <c r="J1435" s="111"/>
      <c r="K1435" s="111"/>
      <c r="L1435" s="111"/>
      <c r="M1435" s="111"/>
      <c r="N1435" s="111"/>
      <c r="O1435" s="111"/>
      <c r="P1435" s="111"/>
      <c r="Q1435" s="111"/>
      <c r="R1435" s="111"/>
      <c r="S1435" s="111"/>
      <c r="T1435" s="111"/>
      <c r="U1435" s="111"/>
      <c r="V1435" s="111"/>
      <c r="W1435" s="111"/>
      <c r="X1435" s="111"/>
      <c r="Y1435" s="111"/>
      <c r="Z1435" s="111"/>
      <c r="AA1435" s="111"/>
      <c r="AB1435" s="111"/>
      <c r="AC1435" s="111"/>
      <c r="AD1435" s="111"/>
      <c r="AE1435" s="111"/>
      <c r="AF1435" s="111"/>
      <c r="AG1435" s="111"/>
      <c r="AH1435" s="111"/>
      <c r="AI1435" s="111"/>
    </row>
    <row r="1436" spans="1:35" ht="18.75">
      <c r="A1436" s="111"/>
      <c r="B1436" s="139"/>
      <c r="C1436" s="111"/>
      <c r="D1436" s="111"/>
      <c r="E1436" s="111"/>
      <c r="F1436" s="111"/>
      <c r="G1436" s="111"/>
      <c r="H1436" s="111"/>
      <c r="I1436" s="111"/>
      <c r="J1436" s="111"/>
      <c r="K1436" s="111"/>
      <c r="L1436" s="111"/>
      <c r="M1436" s="111"/>
      <c r="N1436" s="111"/>
      <c r="O1436" s="111"/>
      <c r="P1436" s="111"/>
      <c r="Q1436" s="111"/>
      <c r="R1436" s="111"/>
      <c r="S1436" s="111"/>
      <c r="T1436" s="111"/>
      <c r="U1436" s="111"/>
      <c r="V1436" s="111"/>
      <c r="W1436" s="111"/>
      <c r="X1436" s="111"/>
      <c r="Y1436" s="111"/>
      <c r="Z1436" s="111"/>
      <c r="AA1436" s="111"/>
      <c r="AB1436" s="111"/>
      <c r="AC1436" s="111"/>
      <c r="AD1436" s="111"/>
      <c r="AE1436" s="111"/>
      <c r="AF1436" s="111"/>
      <c r="AG1436" s="111"/>
      <c r="AH1436" s="111"/>
      <c r="AI1436" s="111"/>
    </row>
    <row r="1437" spans="1:35" ht="18.75">
      <c r="A1437" s="111"/>
      <c r="B1437" s="139"/>
      <c r="C1437" s="111"/>
      <c r="D1437" s="111"/>
      <c r="E1437" s="111"/>
      <c r="F1437" s="111"/>
      <c r="G1437" s="111"/>
      <c r="H1437" s="111"/>
      <c r="I1437" s="111"/>
      <c r="J1437" s="111"/>
      <c r="K1437" s="111"/>
      <c r="L1437" s="111"/>
      <c r="M1437" s="111"/>
      <c r="N1437" s="111"/>
      <c r="O1437" s="111"/>
      <c r="P1437" s="111"/>
      <c r="Q1437" s="111"/>
      <c r="R1437" s="111"/>
      <c r="S1437" s="111"/>
      <c r="T1437" s="111"/>
      <c r="U1437" s="111"/>
      <c r="V1437" s="111"/>
      <c r="W1437" s="111"/>
      <c r="X1437" s="111"/>
      <c r="Y1437" s="111"/>
      <c r="Z1437" s="111"/>
      <c r="AA1437" s="111"/>
      <c r="AB1437" s="111"/>
      <c r="AC1437" s="111"/>
      <c r="AD1437" s="111"/>
      <c r="AE1437" s="111"/>
      <c r="AF1437" s="111"/>
      <c r="AG1437" s="111"/>
      <c r="AH1437" s="111"/>
      <c r="AI1437" s="111"/>
    </row>
    <row r="1438" spans="1:35" ht="18.75">
      <c r="A1438" s="111"/>
      <c r="B1438" s="139"/>
      <c r="C1438" s="111"/>
      <c r="D1438" s="111"/>
      <c r="E1438" s="111"/>
      <c r="F1438" s="111"/>
      <c r="G1438" s="111"/>
      <c r="H1438" s="111"/>
      <c r="I1438" s="111"/>
      <c r="J1438" s="111"/>
      <c r="K1438" s="111"/>
      <c r="L1438" s="111"/>
      <c r="M1438" s="111"/>
      <c r="N1438" s="111"/>
      <c r="O1438" s="111"/>
      <c r="P1438" s="111"/>
      <c r="Q1438" s="111"/>
      <c r="R1438" s="111"/>
      <c r="S1438" s="111"/>
      <c r="T1438" s="111"/>
      <c r="U1438" s="111"/>
      <c r="V1438" s="111"/>
      <c r="W1438" s="111"/>
      <c r="X1438" s="111"/>
      <c r="Y1438" s="111"/>
      <c r="Z1438" s="111"/>
      <c r="AA1438" s="111"/>
      <c r="AB1438" s="111"/>
      <c r="AC1438" s="111"/>
      <c r="AD1438" s="111"/>
      <c r="AE1438" s="111"/>
      <c r="AF1438" s="111"/>
      <c r="AG1438" s="111"/>
      <c r="AH1438" s="111"/>
      <c r="AI1438" s="111"/>
    </row>
    <row r="1439" spans="1:35" ht="18.75">
      <c r="A1439" s="111"/>
      <c r="B1439" s="139"/>
      <c r="C1439" s="111"/>
      <c r="D1439" s="111"/>
      <c r="E1439" s="111"/>
      <c r="F1439" s="111"/>
      <c r="G1439" s="111"/>
      <c r="H1439" s="111"/>
      <c r="I1439" s="111"/>
      <c r="J1439" s="111"/>
      <c r="K1439" s="111"/>
      <c r="L1439" s="111"/>
      <c r="M1439" s="111"/>
      <c r="N1439" s="111"/>
      <c r="O1439" s="111"/>
      <c r="P1439" s="111"/>
      <c r="Q1439" s="111"/>
      <c r="R1439" s="111"/>
      <c r="S1439" s="111"/>
      <c r="T1439" s="111"/>
      <c r="U1439" s="111"/>
      <c r="V1439" s="111"/>
      <c r="W1439" s="111"/>
      <c r="X1439" s="111"/>
      <c r="Y1439" s="111"/>
      <c r="Z1439" s="111"/>
      <c r="AA1439" s="111"/>
      <c r="AB1439" s="111"/>
      <c r="AC1439" s="111"/>
      <c r="AD1439" s="111"/>
      <c r="AE1439" s="111"/>
      <c r="AF1439" s="111"/>
      <c r="AG1439" s="111"/>
      <c r="AH1439" s="111"/>
      <c r="AI1439" s="111"/>
    </row>
    <row r="1440" spans="1:35" ht="18.75">
      <c r="A1440" s="111"/>
      <c r="B1440" s="139"/>
      <c r="C1440" s="111"/>
      <c r="D1440" s="111"/>
      <c r="E1440" s="111"/>
      <c r="F1440" s="111"/>
      <c r="G1440" s="111"/>
      <c r="H1440" s="111"/>
      <c r="I1440" s="111"/>
      <c r="J1440" s="111"/>
      <c r="K1440" s="111"/>
      <c r="L1440" s="111"/>
      <c r="M1440" s="111"/>
      <c r="N1440" s="111"/>
      <c r="O1440" s="111"/>
      <c r="P1440" s="111"/>
      <c r="Q1440" s="111"/>
      <c r="R1440" s="111"/>
      <c r="S1440" s="111"/>
      <c r="T1440" s="111"/>
      <c r="U1440" s="111"/>
      <c r="V1440" s="111"/>
      <c r="W1440" s="111"/>
      <c r="X1440" s="111"/>
      <c r="Y1440" s="111"/>
      <c r="Z1440" s="111"/>
      <c r="AA1440" s="111"/>
      <c r="AB1440" s="111"/>
      <c r="AC1440" s="111"/>
      <c r="AD1440" s="111"/>
      <c r="AE1440" s="111"/>
      <c r="AF1440" s="111"/>
      <c r="AG1440" s="111"/>
      <c r="AH1440" s="111"/>
      <c r="AI1440" s="111"/>
    </row>
    <row r="1441" spans="1:35" ht="18.75">
      <c r="A1441" s="111"/>
      <c r="B1441" s="139"/>
      <c r="C1441" s="111"/>
      <c r="D1441" s="111"/>
      <c r="E1441" s="111"/>
      <c r="F1441" s="111"/>
      <c r="G1441" s="111"/>
      <c r="H1441" s="111"/>
      <c r="I1441" s="111"/>
      <c r="J1441" s="111"/>
      <c r="K1441" s="111"/>
      <c r="L1441" s="111"/>
      <c r="M1441" s="111"/>
      <c r="N1441" s="111"/>
      <c r="O1441" s="111"/>
      <c r="P1441" s="111"/>
      <c r="Q1441" s="111"/>
      <c r="R1441" s="111"/>
      <c r="S1441" s="111"/>
      <c r="T1441" s="111"/>
      <c r="U1441" s="111"/>
      <c r="V1441" s="111"/>
      <c r="W1441" s="111"/>
      <c r="X1441" s="111"/>
      <c r="Y1441" s="111"/>
      <c r="Z1441" s="111"/>
      <c r="AA1441" s="111"/>
      <c r="AB1441" s="111"/>
      <c r="AC1441" s="111"/>
      <c r="AD1441" s="111"/>
      <c r="AE1441" s="111"/>
      <c r="AF1441" s="111"/>
      <c r="AG1441" s="111"/>
      <c r="AH1441" s="111"/>
      <c r="AI1441" s="111"/>
    </row>
    <row r="1442" spans="1:35" ht="18.75">
      <c r="A1442" s="111"/>
      <c r="B1442" s="139"/>
      <c r="C1442" s="111"/>
      <c r="D1442" s="111"/>
      <c r="E1442" s="111"/>
      <c r="F1442" s="111"/>
      <c r="G1442" s="111"/>
      <c r="H1442" s="111"/>
      <c r="I1442" s="111"/>
      <c r="J1442" s="111"/>
      <c r="K1442" s="111"/>
      <c r="L1442" s="111"/>
      <c r="M1442" s="111"/>
      <c r="N1442" s="111"/>
      <c r="O1442" s="111"/>
      <c r="P1442" s="111"/>
      <c r="Q1442" s="111"/>
      <c r="R1442" s="111"/>
      <c r="S1442" s="111"/>
      <c r="T1442" s="111"/>
      <c r="U1442" s="111"/>
      <c r="V1442" s="111"/>
      <c r="W1442" s="111"/>
      <c r="X1442" s="111"/>
      <c r="Y1442" s="111"/>
      <c r="Z1442" s="111"/>
      <c r="AA1442" s="111"/>
      <c r="AB1442" s="111"/>
      <c r="AC1442" s="111"/>
      <c r="AD1442" s="111"/>
      <c r="AE1442" s="111"/>
      <c r="AF1442" s="111"/>
      <c r="AG1442" s="111"/>
      <c r="AH1442" s="111"/>
      <c r="AI1442" s="111"/>
    </row>
    <row r="1443" spans="1:35" ht="18.75">
      <c r="A1443" s="111"/>
      <c r="B1443" s="139"/>
      <c r="C1443" s="111"/>
      <c r="D1443" s="111"/>
      <c r="E1443" s="111"/>
      <c r="F1443" s="111"/>
      <c r="G1443" s="111"/>
      <c r="H1443" s="111"/>
      <c r="I1443" s="111"/>
      <c r="J1443" s="111"/>
      <c r="K1443" s="111"/>
      <c r="L1443" s="111"/>
      <c r="M1443" s="111"/>
      <c r="N1443" s="111"/>
      <c r="O1443" s="111"/>
      <c r="P1443" s="111"/>
      <c r="Q1443" s="111"/>
      <c r="R1443" s="111"/>
      <c r="S1443" s="111"/>
      <c r="T1443" s="111"/>
      <c r="U1443" s="111"/>
      <c r="V1443" s="111"/>
      <c r="W1443" s="111"/>
      <c r="X1443" s="111"/>
      <c r="Y1443" s="111"/>
      <c r="Z1443" s="111"/>
      <c r="AA1443" s="111"/>
      <c r="AB1443" s="111"/>
      <c r="AC1443" s="111"/>
      <c r="AD1443" s="111"/>
      <c r="AE1443" s="111"/>
      <c r="AF1443" s="111"/>
      <c r="AG1443" s="111"/>
      <c r="AH1443" s="111"/>
      <c r="AI1443" s="111"/>
    </row>
    <row r="1444" spans="1:35" ht="18.75">
      <c r="A1444" s="111"/>
      <c r="B1444" s="139"/>
      <c r="C1444" s="111"/>
      <c r="D1444" s="111"/>
      <c r="E1444" s="111"/>
      <c r="F1444" s="111"/>
      <c r="G1444" s="111"/>
      <c r="H1444" s="111"/>
      <c r="I1444" s="111"/>
      <c r="J1444" s="111"/>
      <c r="K1444" s="111"/>
      <c r="L1444" s="111"/>
      <c r="M1444" s="111"/>
      <c r="N1444" s="111"/>
      <c r="O1444" s="111"/>
      <c r="P1444" s="111"/>
      <c r="Q1444" s="111"/>
      <c r="R1444" s="111"/>
      <c r="S1444" s="111"/>
      <c r="T1444" s="111"/>
      <c r="U1444" s="111"/>
      <c r="V1444" s="111"/>
      <c r="W1444" s="111"/>
      <c r="X1444" s="111"/>
      <c r="Y1444" s="111"/>
      <c r="Z1444" s="111"/>
      <c r="AA1444" s="111"/>
      <c r="AB1444" s="111"/>
      <c r="AC1444" s="111"/>
      <c r="AD1444" s="111"/>
      <c r="AE1444" s="111"/>
      <c r="AF1444" s="111"/>
      <c r="AG1444" s="111"/>
      <c r="AH1444" s="111"/>
      <c r="AI1444" s="111"/>
    </row>
    <row r="1445" spans="1:35" ht="18.75">
      <c r="A1445" s="111"/>
      <c r="B1445" s="139"/>
      <c r="C1445" s="111"/>
      <c r="D1445" s="111"/>
      <c r="E1445" s="111"/>
      <c r="F1445" s="111"/>
      <c r="G1445" s="111"/>
      <c r="H1445" s="111"/>
      <c r="I1445" s="111"/>
      <c r="J1445" s="111"/>
      <c r="K1445" s="111"/>
      <c r="L1445" s="111"/>
      <c r="M1445" s="111"/>
      <c r="N1445" s="111"/>
      <c r="O1445" s="111"/>
      <c r="P1445" s="111"/>
      <c r="Q1445" s="111"/>
      <c r="R1445" s="111"/>
      <c r="S1445" s="111"/>
      <c r="T1445" s="111"/>
      <c r="U1445" s="111"/>
      <c r="V1445" s="111"/>
      <c r="W1445" s="111"/>
      <c r="X1445" s="111"/>
      <c r="Y1445" s="111"/>
      <c r="Z1445" s="111"/>
      <c r="AA1445" s="111"/>
      <c r="AB1445" s="111"/>
      <c r="AC1445" s="111"/>
      <c r="AD1445" s="111"/>
      <c r="AE1445" s="111"/>
      <c r="AF1445" s="111"/>
      <c r="AG1445" s="111"/>
      <c r="AH1445" s="111"/>
      <c r="AI1445" s="111"/>
    </row>
    <row r="1446" spans="1:35" ht="18.75">
      <c r="A1446" s="111"/>
      <c r="B1446" s="139"/>
      <c r="C1446" s="111"/>
      <c r="D1446" s="111"/>
      <c r="E1446" s="111"/>
      <c r="F1446" s="111"/>
      <c r="G1446" s="111"/>
      <c r="H1446" s="111"/>
      <c r="I1446" s="111"/>
      <c r="J1446" s="111"/>
      <c r="K1446" s="111"/>
      <c r="L1446" s="111"/>
      <c r="M1446" s="111"/>
      <c r="N1446" s="111"/>
      <c r="O1446" s="111"/>
      <c r="P1446" s="111"/>
      <c r="Q1446" s="111"/>
      <c r="R1446" s="111"/>
      <c r="S1446" s="111"/>
      <c r="T1446" s="111"/>
      <c r="U1446" s="111"/>
      <c r="V1446" s="111"/>
      <c r="W1446" s="111"/>
      <c r="X1446" s="111"/>
      <c r="Y1446" s="111"/>
      <c r="Z1446" s="111"/>
      <c r="AA1446" s="111"/>
      <c r="AB1446" s="111"/>
      <c r="AC1446" s="111"/>
      <c r="AD1446" s="111"/>
      <c r="AE1446" s="111"/>
      <c r="AF1446" s="111"/>
      <c r="AG1446" s="111"/>
      <c r="AH1446" s="111"/>
      <c r="AI1446" s="111"/>
    </row>
    <row r="1447" spans="1:35" ht="18.75">
      <c r="A1447" s="111"/>
      <c r="B1447" s="139"/>
      <c r="C1447" s="111"/>
      <c r="D1447" s="111"/>
      <c r="E1447" s="111"/>
      <c r="F1447" s="111"/>
      <c r="G1447" s="111"/>
      <c r="H1447" s="111"/>
      <c r="I1447" s="111"/>
      <c r="J1447" s="111"/>
      <c r="K1447" s="111"/>
      <c r="L1447" s="111"/>
      <c r="M1447" s="111"/>
      <c r="N1447" s="111"/>
      <c r="O1447" s="111"/>
      <c r="P1447" s="111"/>
      <c r="Q1447" s="111"/>
      <c r="R1447" s="111"/>
      <c r="S1447" s="111"/>
      <c r="T1447" s="111"/>
      <c r="U1447" s="111"/>
      <c r="V1447" s="111"/>
      <c r="W1447" s="111"/>
      <c r="X1447" s="111"/>
      <c r="Y1447" s="111"/>
      <c r="Z1447" s="111"/>
      <c r="AA1447" s="111"/>
      <c r="AB1447" s="111"/>
      <c r="AC1447" s="111"/>
      <c r="AD1447" s="111"/>
      <c r="AE1447" s="111"/>
      <c r="AF1447" s="111"/>
      <c r="AG1447" s="111"/>
      <c r="AH1447" s="111"/>
      <c r="AI1447" s="111"/>
    </row>
    <row r="1448" spans="1:35" ht="18.75">
      <c r="A1448" s="111"/>
      <c r="B1448" s="139"/>
      <c r="C1448" s="111"/>
      <c r="D1448" s="111"/>
      <c r="E1448" s="111"/>
      <c r="F1448" s="111"/>
      <c r="G1448" s="111"/>
      <c r="H1448" s="111"/>
      <c r="I1448" s="111"/>
      <c r="J1448" s="111"/>
      <c r="K1448" s="111"/>
      <c r="L1448" s="111"/>
      <c r="M1448" s="111"/>
      <c r="N1448" s="111"/>
      <c r="O1448" s="111"/>
      <c r="P1448" s="111"/>
      <c r="Q1448" s="111"/>
      <c r="R1448" s="111"/>
      <c r="S1448" s="111"/>
      <c r="T1448" s="111"/>
      <c r="U1448" s="111"/>
      <c r="V1448" s="111"/>
      <c r="W1448" s="111"/>
      <c r="X1448" s="111"/>
      <c r="Y1448" s="111"/>
      <c r="Z1448" s="111"/>
      <c r="AA1448" s="111"/>
      <c r="AB1448" s="111"/>
      <c r="AC1448" s="111"/>
      <c r="AD1448" s="111"/>
      <c r="AE1448" s="111"/>
      <c r="AF1448" s="111"/>
      <c r="AG1448" s="111"/>
      <c r="AH1448" s="111"/>
      <c r="AI1448" s="111"/>
    </row>
    <row r="1449" spans="1:35" ht="18.75">
      <c r="A1449" s="111"/>
      <c r="B1449" s="139"/>
      <c r="C1449" s="111"/>
      <c r="D1449" s="111"/>
      <c r="E1449" s="111"/>
      <c r="F1449" s="111"/>
      <c r="G1449" s="111"/>
      <c r="H1449" s="111"/>
      <c r="I1449" s="111"/>
      <c r="J1449" s="111"/>
      <c r="K1449" s="111"/>
      <c r="L1449" s="111"/>
      <c r="M1449" s="111"/>
      <c r="N1449" s="111"/>
      <c r="O1449" s="111"/>
      <c r="P1449" s="111"/>
      <c r="Q1449" s="111"/>
      <c r="R1449" s="111"/>
      <c r="S1449" s="111"/>
      <c r="T1449" s="111"/>
      <c r="U1449" s="111"/>
      <c r="V1449" s="111"/>
      <c r="W1449" s="111"/>
      <c r="X1449" s="111"/>
      <c r="Y1449" s="111"/>
      <c r="Z1449" s="111"/>
      <c r="AA1449" s="111"/>
      <c r="AB1449" s="111"/>
      <c r="AC1449" s="111"/>
      <c r="AD1449" s="111"/>
      <c r="AE1449" s="111"/>
      <c r="AF1449" s="111"/>
      <c r="AG1449" s="111"/>
      <c r="AH1449" s="111"/>
      <c r="AI1449" s="111"/>
    </row>
    <row r="1450" spans="1:35" ht="18.75">
      <c r="A1450" s="111"/>
      <c r="B1450" s="139"/>
      <c r="C1450" s="111"/>
      <c r="D1450" s="111"/>
      <c r="E1450" s="111"/>
      <c r="F1450" s="111"/>
      <c r="G1450" s="111"/>
      <c r="H1450" s="111"/>
      <c r="I1450" s="111"/>
      <c r="J1450" s="111"/>
      <c r="K1450" s="111"/>
      <c r="L1450" s="111"/>
      <c r="M1450" s="111"/>
      <c r="N1450" s="111"/>
      <c r="O1450" s="111"/>
      <c r="P1450" s="111"/>
      <c r="Q1450" s="111"/>
      <c r="R1450" s="111"/>
      <c r="S1450" s="111"/>
      <c r="T1450" s="111"/>
      <c r="U1450" s="111"/>
      <c r="V1450" s="111"/>
      <c r="W1450" s="111"/>
      <c r="X1450" s="111"/>
      <c r="Y1450" s="111"/>
      <c r="Z1450" s="111"/>
      <c r="AA1450" s="111"/>
      <c r="AB1450" s="111"/>
      <c r="AC1450" s="111"/>
      <c r="AD1450" s="111"/>
      <c r="AE1450" s="111"/>
      <c r="AF1450" s="111"/>
      <c r="AG1450" s="111"/>
      <c r="AH1450" s="111"/>
      <c r="AI1450" s="111"/>
    </row>
    <row r="1451" spans="1:35" ht="18.75">
      <c r="A1451" s="111"/>
      <c r="B1451" s="139"/>
      <c r="C1451" s="111"/>
      <c r="D1451" s="111"/>
      <c r="E1451" s="111"/>
      <c r="F1451" s="111"/>
      <c r="G1451" s="111"/>
      <c r="H1451" s="111"/>
      <c r="I1451" s="111"/>
      <c r="J1451" s="111"/>
      <c r="K1451" s="111"/>
      <c r="L1451" s="111"/>
      <c r="M1451" s="111"/>
      <c r="N1451" s="111"/>
      <c r="O1451" s="111"/>
      <c r="P1451" s="111"/>
      <c r="Q1451" s="111"/>
      <c r="R1451" s="111"/>
      <c r="S1451" s="111"/>
      <c r="T1451" s="111"/>
      <c r="U1451" s="111"/>
      <c r="V1451" s="111"/>
      <c r="W1451" s="111"/>
      <c r="X1451" s="111"/>
      <c r="Y1451" s="111"/>
      <c r="Z1451" s="111"/>
      <c r="AA1451" s="111"/>
      <c r="AB1451" s="111"/>
      <c r="AC1451" s="111"/>
      <c r="AD1451" s="111"/>
      <c r="AE1451" s="111"/>
      <c r="AF1451" s="111"/>
      <c r="AG1451" s="111"/>
      <c r="AH1451" s="111"/>
      <c r="AI1451" s="111"/>
    </row>
    <row r="1452" spans="1:35" ht="18.75">
      <c r="A1452" s="111"/>
      <c r="B1452" s="139"/>
      <c r="C1452" s="111"/>
      <c r="D1452" s="111"/>
      <c r="E1452" s="111"/>
      <c r="F1452" s="111"/>
      <c r="G1452" s="111"/>
      <c r="H1452" s="111"/>
      <c r="I1452" s="111"/>
      <c r="J1452" s="111"/>
      <c r="K1452" s="111"/>
      <c r="L1452" s="111"/>
      <c r="M1452" s="111"/>
      <c r="N1452" s="111"/>
      <c r="O1452" s="111"/>
      <c r="P1452" s="111"/>
      <c r="Q1452" s="111"/>
      <c r="R1452" s="111"/>
      <c r="S1452" s="111"/>
      <c r="T1452" s="111"/>
      <c r="U1452" s="111"/>
      <c r="V1452" s="111"/>
      <c r="W1452" s="111"/>
      <c r="X1452" s="111"/>
      <c r="Y1452" s="111"/>
      <c r="Z1452" s="111"/>
      <c r="AA1452" s="111"/>
      <c r="AB1452" s="111"/>
      <c r="AC1452" s="111"/>
      <c r="AD1452" s="111"/>
      <c r="AE1452" s="111"/>
      <c r="AF1452" s="111"/>
      <c r="AG1452" s="111"/>
      <c r="AH1452" s="111"/>
      <c r="AI1452" s="111"/>
    </row>
    <row r="1453" spans="1:35" ht="18.75">
      <c r="A1453" s="111"/>
      <c r="B1453" s="139"/>
      <c r="C1453" s="111"/>
      <c r="D1453" s="111"/>
      <c r="E1453" s="111"/>
      <c r="F1453" s="111"/>
      <c r="G1453" s="111"/>
      <c r="H1453" s="111"/>
      <c r="I1453" s="111"/>
      <c r="J1453" s="111"/>
      <c r="K1453" s="111"/>
      <c r="L1453" s="111"/>
      <c r="M1453" s="111"/>
      <c r="N1453" s="111"/>
      <c r="O1453" s="111"/>
      <c r="P1453" s="111"/>
      <c r="Q1453" s="111"/>
      <c r="R1453" s="111"/>
      <c r="S1453" s="111"/>
      <c r="T1453" s="111"/>
      <c r="U1453" s="111"/>
      <c r="V1453" s="111"/>
      <c r="W1453" s="111"/>
      <c r="X1453" s="111"/>
      <c r="Y1453" s="111"/>
      <c r="Z1453" s="111"/>
      <c r="AA1453" s="111"/>
      <c r="AB1453" s="111"/>
      <c r="AC1453" s="111"/>
      <c r="AD1453" s="111"/>
      <c r="AE1453" s="111"/>
      <c r="AF1453" s="111"/>
      <c r="AG1453" s="111"/>
      <c r="AH1453" s="111"/>
      <c r="AI1453" s="111"/>
    </row>
    <row r="1454" spans="1:35" ht="18.75">
      <c r="A1454" s="111"/>
      <c r="B1454" s="139"/>
      <c r="C1454" s="111"/>
      <c r="D1454" s="111"/>
      <c r="E1454" s="111"/>
      <c r="F1454" s="111"/>
      <c r="G1454" s="111"/>
      <c r="H1454" s="111"/>
      <c r="I1454" s="111"/>
      <c r="J1454" s="111"/>
      <c r="K1454" s="111"/>
      <c r="L1454" s="111"/>
      <c r="M1454" s="111"/>
      <c r="N1454" s="111"/>
      <c r="O1454" s="111"/>
      <c r="P1454" s="111"/>
      <c r="Q1454" s="111"/>
      <c r="R1454" s="111"/>
      <c r="S1454" s="111"/>
      <c r="T1454" s="111"/>
      <c r="U1454" s="111"/>
      <c r="V1454" s="111"/>
      <c r="W1454" s="111"/>
      <c r="X1454" s="111"/>
      <c r="Y1454" s="111"/>
      <c r="Z1454" s="111"/>
      <c r="AA1454" s="111"/>
      <c r="AB1454" s="111"/>
      <c r="AC1454" s="111"/>
      <c r="AD1454" s="111"/>
      <c r="AE1454" s="111"/>
      <c r="AF1454" s="111"/>
      <c r="AG1454" s="111"/>
      <c r="AH1454" s="111"/>
      <c r="AI1454" s="111"/>
    </row>
    <row r="1455" spans="1:35" ht="18.75">
      <c r="A1455" s="111"/>
      <c r="B1455" s="139"/>
      <c r="C1455" s="111"/>
      <c r="D1455" s="111"/>
      <c r="E1455" s="111"/>
      <c r="F1455" s="111"/>
      <c r="G1455" s="111"/>
      <c r="H1455" s="111"/>
      <c r="I1455" s="111"/>
      <c r="J1455" s="111"/>
      <c r="K1455" s="111"/>
      <c r="L1455" s="111"/>
      <c r="M1455" s="111"/>
      <c r="N1455" s="111"/>
      <c r="O1455" s="111"/>
      <c r="P1455" s="111"/>
      <c r="Q1455" s="111"/>
      <c r="R1455" s="111"/>
      <c r="S1455" s="111"/>
      <c r="T1455" s="111"/>
      <c r="U1455" s="111"/>
      <c r="V1455" s="111"/>
      <c r="W1455" s="111"/>
      <c r="X1455" s="111"/>
      <c r="Y1455" s="111"/>
      <c r="Z1455" s="111"/>
      <c r="AA1455" s="111"/>
      <c r="AB1455" s="111"/>
      <c r="AC1455" s="111"/>
      <c r="AD1455" s="111"/>
      <c r="AE1455" s="111"/>
      <c r="AF1455" s="111"/>
      <c r="AG1455" s="111"/>
      <c r="AH1455" s="111"/>
      <c r="AI1455" s="111"/>
    </row>
    <row r="1456" spans="1:35" ht="18.75">
      <c r="A1456" s="111"/>
      <c r="B1456" s="139"/>
      <c r="C1456" s="111"/>
      <c r="D1456" s="111"/>
      <c r="E1456" s="111"/>
      <c r="F1456" s="111"/>
      <c r="G1456" s="111"/>
      <c r="H1456" s="111"/>
      <c r="I1456" s="111"/>
      <c r="J1456" s="111"/>
      <c r="K1456" s="111"/>
      <c r="L1456" s="111"/>
      <c r="M1456" s="111"/>
      <c r="N1456" s="111"/>
      <c r="O1456" s="111"/>
      <c r="P1456" s="111"/>
      <c r="Q1456" s="111"/>
      <c r="R1456" s="111"/>
      <c r="S1456" s="111"/>
      <c r="T1456" s="111"/>
      <c r="U1456" s="111"/>
      <c r="V1456" s="111"/>
      <c r="W1456" s="111"/>
      <c r="X1456" s="111"/>
      <c r="Y1456" s="111"/>
      <c r="Z1456" s="111"/>
      <c r="AA1456" s="111"/>
      <c r="AB1456" s="111"/>
      <c r="AC1456" s="111"/>
      <c r="AD1456" s="111"/>
      <c r="AE1456" s="111"/>
      <c r="AF1456" s="111"/>
      <c r="AG1456" s="111"/>
      <c r="AH1456" s="111"/>
      <c r="AI1456" s="111"/>
    </row>
    <row r="1457" spans="1:35" ht="18.75">
      <c r="A1457" s="111"/>
      <c r="B1457" s="139"/>
      <c r="C1457" s="111"/>
      <c r="D1457" s="111"/>
      <c r="E1457" s="111"/>
      <c r="F1457" s="111"/>
      <c r="G1457" s="111"/>
      <c r="H1457" s="111"/>
      <c r="I1457" s="111"/>
      <c r="J1457" s="111"/>
      <c r="K1457" s="111"/>
      <c r="L1457" s="111"/>
      <c r="M1457" s="111"/>
      <c r="N1457" s="111"/>
      <c r="O1457" s="111"/>
      <c r="P1457" s="111"/>
      <c r="Q1457" s="111"/>
      <c r="R1457" s="111"/>
      <c r="S1457" s="111"/>
      <c r="T1457" s="111"/>
      <c r="U1457" s="111"/>
      <c r="V1457" s="111"/>
      <c r="W1457" s="111"/>
      <c r="X1457" s="111"/>
      <c r="Y1457" s="111"/>
      <c r="Z1457" s="111"/>
      <c r="AA1457" s="111"/>
      <c r="AB1457" s="111"/>
      <c r="AC1457" s="111"/>
      <c r="AD1457" s="111"/>
      <c r="AE1457" s="111"/>
      <c r="AF1457" s="111"/>
      <c r="AG1457" s="111"/>
      <c r="AH1457" s="111"/>
      <c r="AI1457" s="111"/>
    </row>
    <row r="1458" spans="1:35" ht="18.75">
      <c r="A1458" s="111"/>
      <c r="B1458" s="139"/>
      <c r="C1458" s="111"/>
      <c r="D1458" s="111"/>
      <c r="E1458" s="111"/>
      <c r="F1458" s="111"/>
      <c r="G1458" s="111"/>
      <c r="H1458" s="111"/>
      <c r="I1458" s="111"/>
      <c r="J1458" s="111"/>
      <c r="K1458" s="111"/>
      <c r="L1458" s="111"/>
      <c r="M1458" s="111"/>
      <c r="N1458" s="111"/>
      <c r="O1458" s="111"/>
      <c r="P1458" s="111"/>
      <c r="Q1458" s="111"/>
      <c r="R1458" s="111"/>
      <c r="S1458" s="111"/>
      <c r="T1458" s="111"/>
      <c r="U1458" s="111"/>
      <c r="V1458" s="111"/>
      <c r="W1458" s="111"/>
      <c r="X1458" s="111"/>
      <c r="Y1458" s="111"/>
      <c r="Z1458" s="111"/>
      <c r="AA1458" s="111"/>
      <c r="AB1458" s="111"/>
      <c r="AC1458" s="111"/>
      <c r="AD1458" s="111"/>
      <c r="AE1458" s="111"/>
      <c r="AF1458" s="111"/>
      <c r="AG1458" s="111"/>
      <c r="AH1458" s="111"/>
      <c r="AI1458" s="111"/>
    </row>
    <row r="1459" spans="1:35" ht="18.75">
      <c r="A1459" s="111"/>
      <c r="B1459" s="139"/>
      <c r="C1459" s="111"/>
      <c r="D1459" s="111"/>
      <c r="E1459" s="111"/>
      <c r="F1459" s="111"/>
      <c r="G1459" s="111"/>
      <c r="H1459" s="111"/>
      <c r="I1459" s="111"/>
      <c r="J1459" s="111"/>
      <c r="K1459" s="111"/>
      <c r="L1459" s="111"/>
      <c r="M1459" s="111"/>
      <c r="N1459" s="111"/>
      <c r="O1459" s="111"/>
      <c r="P1459" s="111"/>
      <c r="Q1459" s="111"/>
      <c r="R1459" s="111"/>
      <c r="S1459" s="111"/>
      <c r="T1459" s="111"/>
      <c r="U1459" s="111"/>
      <c r="V1459" s="111"/>
      <c r="W1459" s="111"/>
      <c r="X1459" s="111"/>
      <c r="Y1459" s="111"/>
      <c r="Z1459" s="111"/>
      <c r="AA1459" s="111"/>
      <c r="AB1459" s="111"/>
      <c r="AC1459" s="111"/>
      <c r="AD1459" s="111"/>
      <c r="AE1459" s="111"/>
      <c r="AF1459" s="111"/>
      <c r="AG1459" s="111"/>
      <c r="AH1459" s="111"/>
      <c r="AI1459" s="111"/>
    </row>
    <row r="1460" spans="1:35" ht="18.75">
      <c r="A1460" s="111"/>
      <c r="B1460" s="139"/>
      <c r="C1460" s="111"/>
      <c r="D1460" s="111"/>
      <c r="E1460" s="111"/>
      <c r="F1460" s="111"/>
      <c r="G1460" s="111"/>
      <c r="H1460" s="111"/>
      <c r="I1460" s="111"/>
      <c r="J1460" s="111"/>
      <c r="K1460" s="111"/>
      <c r="L1460" s="111"/>
      <c r="M1460" s="111"/>
      <c r="N1460" s="111"/>
      <c r="O1460" s="111"/>
      <c r="P1460" s="111"/>
      <c r="Q1460" s="111"/>
      <c r="R1460" s="111"/>
      <c r="S1460" s="111"/>
      <c r="T1460" s="111"/>
      <c r="U1460" s="111"/>
      <c r="V1460" s="111"/>
      <c r="W1460" s="111"/>
      <c r="X1460" s="111"/>
      <c r="Y1460" s="111"/>
      <c r="Z1460" s="111"/>
      <c r="AA1460" s="111"/>
      <c r="AB1460" s="111"/>
      <c r="AC1460" s="111"/>
      <c r="AD1460" s="111"/>
      <c r="AE1460" s="111"/>
      <c r="AF1460" s="111"/>
      <c r="AG1460" s="111"/>
      <c r="AH1460" s="111"/>
      <c r="AI1460" s="111"/>
    </row>
    <row r="1461" spans="1:35" ht="18.75">
      <c r="A1461" s="111"/>
      <c r="B1461" s="139"/>
      <c r="C1461" s="111"/>
      <c r="D1461" s="111"/>
      <c r="E1461" s="111"/>
      <c r="F1461" s="111"/>
      <c r="G1461" s="111"/>
      <c r="H1461" s="111"/>
      <c r="I1461" s="111"/>
      <c r="J1461" s="111"/>
      <c r="K1461" s="111"/>
      <c r="L1461" s="111"/>
      <c r="M1461" s="111"/>
      <c r="N1461" s="111"/>
      <c r="O1461" s="111"/>
      <c r="P1461" s="111"/>
      <c r="Q1461" s="111"/>
      <c r="R1461" s="111"/>
      <c r="S1461" s="111"/>
      <c r="T1461" s="111"/>
      <c r="U1461" s="111"/>
      <c r="V1461" s="111"/>
      <c r="W1461" s="111"/>
      <c r="X1461" s="111"/>
      <c r="Y1461" s="111"/>
      <c r="Z1461" s="111"/>
      <c r="AA1461" s="111"/>
      <c r="AB1461" s="111"/>
      <c r="AC1461" s="111"/>
      <c r="AD1461" s="111"/>
      <c r="AE1461" s="111"/>
      <c r="AF1461" s="111"/>
      <c r="AG1461" s="111"/>
      <c r="AH1461" s="111"/>
      <c r="AI1461" s="111"/>
    </row>
    <row r="1462" spans="1:35" ht="18.75">
      <c r="A1462" s="111"/>
      <c r="B1462" s="139"/>
      <c r="C1462" s="111"/>
      <c r="D1462" s="111"/>
      <c r="E1462" s="111"/>
      <c r="F1462" s="111"/>
      <c r="G1462" s="111"/>
      <c r="H1462" s="111"/>
      <c r="I1462" s="111"/>
      <c r="J1462" s="111"/>
      <c r="K1462" s="111"/>
      <c r="L1462" s="111"/>
      <c r="M1462" s="111"/>
      <c r="N1462" s="111"/>
      <c r="O1462" s="111"/>
      <c r="P1462" s="111"/>
      <c r="Q1462" s="111"/>
      <c r="R1462" s="111"/>
      <c r="S1462" s="111"/>
      <c r="T1462" s="111"/>
      <c r="U1462" s="111"/>
      <c r="V1462" s="111"/>
      <c r="W1462" s="111"/>
      <c r="X1462" s="111"/>
      <c r="Y1462" s="111"/>
      <c r="Z1462" s="111"/>
      <c r="AA1462" s="111"/>
      <c r="AB1462" s="111"/>
      <c r="AC1462" s="111"/>
      <c r="AD1462" s="111"/>
      <c r="AE1462" s="111"/>
      <c r="AF1462" s="111"/>
      <c r="AG1462" s="111"/>
      <c r="AH1462" s="111"/>
      <c r="AI1462" s="111"/>
    </row>
    <row r="1463" spans="1:35" ht="18.75">
      <c r="A1463" s="111"/>
      <c r="B1463" s="139"/>
      <c r="C1463" s="111"/>
      <c r="D1463" s="111"/>
      <c r="E1463" s="111"/>
      <c r="F1463" s="111"/>
      <c r="G1463" s="111"/>
      <c r="H1463" s="111"/>
      <c r="I1463" s="111"/>
      <c r="J1463" s="111"/>
      <c r="K1463" s="111"/>
      <c r="L1463" s="111"/>
      <c r="M1463" s="111"/>
      <c r="N1463" s="111"/>
      <c r="O1463" s="111"/>
      <c r="P1463" s="111"/>
      <c r="Q1463" s="111"/>
      <c r="R1463" s="111"/>
      <c r="S1463" s="111"/>
      <c r="T1463" s="111"/>
      <c r="U1463" s="111"/>
      <c r="V1463" s="111"/>
      <c r="W1463" s="111"/>
      <c r="X1463" s="111"/>
      <c r="Y1463" s="111"/>
      <c r="Z1463" s="111"/>
      <c r="AA1463" s="111"/>
      <c r="AB1463" s="111"/>
      <c r="AC1463" s="111"/>
      <c r="AD1463" s="111"/>
      <c r="AE1463" s="111"/>
      <c r="AF1463" s="111"/>
      <c r="AG1463" s="111"/>
      <c r="AH1463" s="111"/>
      <c r="AI1463" s="111"/>
    </row>
    <row r="1464" spans="1:35" ht="18.75">
      <c r="A1464" s="111"/>
      <c r="B1464" s="139"/>
      <c r="C1464" s="111"/>
      <c r="D1464" s="111"/>
      <c r="E1464" s="111"/>
      <c r="F1464" s="111"/>
      <c r="G1464" s="111"/>
      <c r="H1464" s="111"/>
      <c r="I1464" s="111"/>
      <c r="J1464" s="111"/>
      <c r="K1464" s="111"/>
      <c r="L1464" s="111"/>
      <c r="M1464" s="111"/>
      <c r="N1464" s="111"/>
      <c r="O1464" s="111"/>
      <c r="P1464" s="111"/>
      <c r="Q1464" s="111"/>
      <c r="R1464" s="111"/>
      <c r="S1464" s="111"/>
      <c r="T1464" s="111"/>
      <c r="U1464" s="111"/>
      <c r="V1464" s="111"/>
      <c r="W1464" s="111"/>
      <c r="X1464" s="111"/>
      <c r="Y1464" s="111"/>
      <c r="Z1464" s="111"/>
      <c r="AA1464" s="111"/>
      <c r="AB1464" s="111"/>
      <c r="AC1464" s="111"/>
      <c r="AD1464" s="111"/>
      <c r="AE1464" s="111"/>
      <c r="AF1464" s="111"/>
      <c r="AG1464" s="111"/>
      <c r="AH1464" s="111"/>
      <c r="AI1464" s="111"/>
    </row>
    <row r="1465" spans="1:35" ht="18.75">
      <c r="A1465" s="111"/>
      <c r="B1465" s="139"/>
      <c r="C1465" s="111"/>
      <c r="D1465" s="111"/>
      <c r="E1465" s="111"/>
      <c r="F1465" s="111"/>
      <c r="G1465" s="111"/>
      <c r="H1465" s="111"/>
      <c r="I1465" s="111"/>
      <c r="J1465" s="111"/>
      <c r="K1465" s="111"/>
      <c r="L1465" s="111"/>
      <c r="M1465" s="111"/>
      <c r="N1465" s="111"/>
      <c r="O1465" s="111"/>
      <c r="P1465" s="111"/>
      <c r="Q1465" s="111"/>
      <c r="R1465" s="111"/>
      <c r="S1465" s="111"/>
      <c r="T1465" s="111"/>
      <c r="U1465" s="111"/>
      <c r="V1465" s="111"/>
      <c r="W1465" s="111"/>
      <c r="X1465" s="111"/>
      <c r="Y1465" s="111"/>
      <c r="Z1465" s="111"/>
      <c r="AA1465" s="111"/>
      <c r="AB1465" s="111"/>
      <c r="AC1465" s="111"/>
      <c r="AD1465" s="111"/>
      <c r="AE1465" s="111"/>
      <c r="AF1465" s="111"/>
      <c r="AG1465" s="111"/>
      <c r="AH1465" s="111"/>
      <c r="AI1465" s="111"/>
    </row>
    <row r="1466" spans="1:35" ht="18.75">
      <c r="A1466" s="111"/>
      <c r="B1466" s="139"/>
      <c r="C1466" s="111"/>
      <c r="D1466" s="111"/>
      <c r="E1466" s="111"/>
      <c r="F1466" s="111"/>
      <c r="G1466" s="111"/>
      <c r="H1466" s="111"/>
      <c r="I1466" s="111"/>
      <c r="J1466" s="111"/>
      <c r="K1466" s="111"/>
      <c r="L1466" s="111"/>
      <c r="M1466" s="111"/>
      <c r="N1466" s="111"/>
      <c r="O1466" s="111"/>
      <c r="P1466" s="111"/>
      <c r="Q1466" s="111"/>
      <c r="R1466" s="111"/>
      <c r="S1466" s="111"/>
      <c r="T1466" s="111"/>
      <c r="U1466" s="111"/>
      <c r="V1466" s="111"/>
      <c r="W1466" s="111"/>
      <c r="X1466" s="111"/>
      <c r="Y1466" s="111"/>
      <c r="Z1466" s="111"/>
      <c r="AA1466" s="111"/>
      <c r="AB1466" s="111"/>
      <c r="AC1466" s="111"/>
      <c r="AD1466" s="111"/>
      <c r="AE1466" s="111"/>
      <c r="AF1466" s="111"/>
      <c r="AG1466" s="111"/>
      <c r="AH1466" s="111"/>
      <c r="AI1466" s="111"/>
    </row>
    <row r="1467" spans="1:35" ht="18.75">
      <c r="A1467" s="111"/>
      <c r="B1467" s="139"/>
      <c r="C1467" s="111"/>
      <c r="D1467" s="111"/>
      <c r="E1467" s="111"/>
      <c r="F1467" s="111"/>
      <c r="G1467" s="111"/>
      <c r="H1467" s="111"/>
      <c r="I1467" s="111"/>
      <c r="J1467" s="111"/>
      <c r="K1467" s="111"/>
      <c r="L1467" s="111"/>
      <c r="M1467" s="111"/>
      <c r="N1467" s="111"/>
      <c r="O1467" s="111"/>
      <c r="P1467" s="111"/>
      <c r="Q1467" s="111"/>
      <c r="R1467" s="111"/>
      <c r="S1467" s="111"/>
      <c r="T1467" s="111"/>
      <c r="U1467" s="111"/>
      <c r="V1467" s="111"/>
      <c r="W1467" s="111"/>
      <c r="X1467" s="111"/>
      <c r="Y1467" s="111"/>
      <c r="Z1467" s="111"/>
      <c r="AA1467" s="111"/>
      <c r="AB1467" s="111"/>
      <c r="AC1467" s="111"/>
      <c r="AD1467" s="111"/>
      <c r="AE1467" s="111"/>
      <c r="AF1467" s="111"/>
      <c r="AG1467" s="111"/>
      <c r="AH1467" s="111"/>
      <c r="AI1467" s="111"/>
    </row>
    <row r="1468" spans="1:35" ht="18.75">
      <c r="A1468" s="111"/>
      <c r="B1468" s="139"/>
      <c r="C1468" s="111"/>
      <c r="D1468" s="111"/>
      <c r="E1468" s="111"/>
      <c r="F1468" s="111"/>
      <c r="G1468" s="111"/>
      <c r="H1468" s="111"/>
      <c r="I1468" s="111"/>
      <c r="J1468" s="111"/>
      <c r="K1468" s="111"/>
      <c r="L1468" s="111"/>
      <c r="M1468" s="111"/>
      <c r="N1468" s="111"/>
      <c r="O1468" s="111"/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/>
      <c r="AB1468" s="111"/>
      <c r="AC1468" s="111"/>
      <c r="AD1468" s="111"/>
      <c r="AE1468" s="111"/>
      <c r="AF1468" s="111"/>
      <c r="AG1468" s="111"/>
      <c r="AH1468" s="111"/>
      <c r="AI1468" s="111"/>
    </row>
    <row r="1469" spans="1:35" ht="18.75">
      <c r="A1469" s="111"/>
      <c r="B1469" s="139"/>
      <c r="C1469" s="111"/>
      <c r="D1469" s="111"/>
      <c r="E1469" s="111"/>
      <c r="F1469" s="111"/>
      <c r="G1469" s="111"/>
      <c r="H1469" s="111"/>
      <c r="I1469" s="111"/>
      <c r="J1469" s="111"/>
      <c r="K1469" s="111"/>
      <c r="L1469" s="111"/>
      <c r="M1469" s="111"/>
      <c r="N1469" s="111"/>
      <c r="O1469" s="111"/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/>
      <c r="AB1469" s="111"/>
      <c r="AC1469" s="111"/>
      <c r="AD1469" s="111"/>
      <c r="AE1469" s="111"/>
      <c r="AF1469" s="111"/>
      <c r="AG1469" s="111"/>
      <c r="AH1469" s="111"/>
      <c r="AI1469" s="111"/>
    </row>
    <row r="1470" spans="1:35" ht="18.75">
      <c r="A1470" s="111"/>
      <c r="B1470" s="139"/>
      <c r="C1470" s="111"/>
      <c r="D1470" s="111"/>
      <c r="E1470" s="111"/>
      <c r="F1470" s="111"/>
      <c r="G1470" s="111"/>
      <c r="H1470" s="111"/>
      <c r="I1470" s="111"/>
      <c r="J1470" s="111"/>
      <c r="K1470" s="111"/>
      <c r="L1470" s="111"/>
      <c r="M1470" s="111"/>
      <c r="N1470" s="111"/>
      <c r="O1470" s="111"/>
      <c r="P1470" s="111"/>
      <c r="Q1470" s="111"/>
      <c r="R1470" s="111"/>
      <c r="S1470" s="111"/>
      <c r="T1470" s="111"/>
      <c r="U1470" s="111"/>
      <c r="V1470" s="111"/>
      <c r="W1470" s="111"/>
      <c r="X1470" s="111"/>
      <c r="Y1470" s="111"/>
      <c r="Z1470" s="111"/>
      <c r="AA1470" s="111"/>
      <c r="AB1470" s="111"/>
      <c r="AC1470" s="111"/>
      <c r="AD1470" s="111"/>
      <c r="AE1470" s="111"/>
      <c r="AF1470" s="111"/>
      <c r="AG1470" s="111"/>
      <c r="AH1470" s="111"/>
      <c r="AI1470" s="111"/>
    </row>
    <row r="1471" spans="1:35" ht="18.75">
      <c r="A1471" s="111"/>
      <c r="B1471" s="139"/>
      <c r="C1471" s="111"/>
      <c r="D1471" s="111"/>
      <c r="E1471" s="111"/>
      <c r="F1471" s="111"/>
      <c r="G1471" s="111"/>
      <c r="H1471" s="111"/>
      <c r="I1471" s="111"/>
      <c r="J1471" s="111"/>
      <c r="K1471" s="111"/>
      <c r="L1471" s="111"/>
      <c r="M1471" s="111"/>
      <c r="N1471" s="111"/>
      <c r="O1471" s="111"/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/>
      <c r="AB1471" s="111"/>
      <c r="AC1471" s="111"/>
      <c r="AD1471" s="111"/>
      <c r="AE1471" s="111"/>
      <c r="AF1471" s="111"/>
      <c r="AG1471" s="111"/>
      <c r="AH1471" s="111"/>
      <c r="AI1471" s="111"/>
    </row>
    <row r="1472" spans="1:35" ht="18.75">
      <c r="A1472" s="111"/>
      <c r="B1472" s="139"/>
      <c r="C1472" s="111"/>
      <c r="D1472" s="111"/>
      <c r="E1472" s="111"/>
      <c r="F1472" s="111"/>
      <c r="G1472" s="111"/>
      <c r="H1472" s="111"/>
      <c r="I1472" s="111"/>
      <c r="J1472" s="111"/>
      <c r="K1472" s="111"/>
      <c r="L1472" s="111"/>
      <c r="M1472" s="111"/>
      <c r="N1472" s="111"/>
      <c r="O1472" s="111"/>
      <c r="P1472" s="111"/>
      <c r="Q1472" s="111"/>
      <c r="R1472" s="111"/>
      <c r="S1472" s="111"/>
      <c r="T1472" s="111"/>
      <c r="U1472" s="111"/>
      <c r="V1472" s="111"/>
      <c r="W1472" s="111"/>
      <c r="X1472" s="111"/>
      <c r="Y1472" s="111"/>
      <c r="Z1472" s="111"/>
      <c r="AA1472" s="111"/>
      <c r="AB1472" s="111"/>
      <c r="AC1472" s="111"/>
      <c r="AD1472" s="111"/>
      <c r="AE1472" s="111"/>
      <c r="AF1472" s="111"/>
      <c r="AG1472" s="111"/>
      <c r="AH1472" s="111"/>
      <c r="AI1472" s="111"/>
    </row>
    <row r="1473" spans="1:35" ht="18.75">
      <c r="A1473" s="111"/>
      <c r="B1473" s="139"/>
      <c r="C1473" s="111"/>
      <c r="D1473" s="111"/>
      <c r="E1473" s="111"/>
      <c r="F1473" s="111"/>
      <c r="G1473" s="111"/>
      <c r="H1473" s="111"/>
      <c r="I1473" s="111"/>
      <c r="J1473" s="111"/>
      <c r="K1473" s="111"/>
      <c r="L1473" s="111"/>
      <c r="M1473" s="111"/>
      <c r="N1473" s="111"/>
      <c r="O1473" s="111"/>
      <c r="P1473" s="111"/>
      <c r="Q1473" s="111"/>
      <c r="R1473" s="111"/>
      <c r="S1473" s="111"/>
      <c r="T1473" s="111"/>
      <c r="U1473" s="111"/>
      <c r="V1473" s="111"/>
      <c r="W1473" s="111"/>
      <c r="X1473" s="111"/>
      <c r="Y1473" s="111"/>
      <c r="Z1473" s="111"/>
      <c r="AA1473" s="111"/>
      <c r="AB1473" s="111"/>
      <c r="AC1473" s="111"/>
      <c r="AD1473" s="111"/>
      <c r="AE1473" s="111"/>
      <c r="AF1473" s="111"/>
      <c r="AG1473" s="111"/>
      <c r="AH1473" s="111"/>
      <c r="AI1473" s="111"/>
    </row>
    <row r="1474" spans="1:35" ht="18.75">
      <c r="A1474" s="111"/>
      <c r="B1474" s="139"/>
      <c r="C1474" s="111"/>
      <c r="D1474" s="111"/>
      <c r="E1474" s="111"/>
      <c r="F1474" s="111"/>
      <c r="G1474" s="111"/>
      <c r="H1474" s="111"/>
      <c r="I1474" s="111"/>
      <c r="J1474" s="111"/>
      <c r="K1474" s="111"/>
      <c r="L1474" s="111"/>
      <c r="M1474" s="111"/>
      <c r="N1474" s="111"/>
      <c r="O1474" s="111"/>
      <c r="P1474" s="111"/>
      <c r="Q1474" s="111"/>
      <c r="R1474" s="111"/>
      <c r="S1474" s="111"/>
      <c r="T1474" s="111"/>
      <c r="U1474" s="111"/>
      <c r="V1474" s="111"/>
      <c r="W1474" s="111"/>
      <c r="X1474" s="111"/>
      <c r="Y1474" s="111"/>
      <c r="Z1474" s="111"/>
      <c r="AA1474" s="111"/>
      <c r="AB1474" s="111"/>
      <c r="AC1474" s="111"/>
      <c r="AD1474" s="111"/>
      <c r="AE1474" s="111"/>
      <c r="AF1474" s="111"/>
      <c r="AG1474" s="111"/>
      <c r="AH1474" s="111"/>
      <c r="AI1474" s="111"/>
    </row>
    <row r="1475" spans="1:35" ht="18.75">
      <c r="A1475" s="111"/>
      <c r="B1475" s="139"/>
      <c r="C1475" s="111"/>
      <c r="D1475" s="111"/>
      <c r="E1475" s="111"/>
      <c r="F1475" s="111"/>
      <c r="G1475" s="111"/>
      <c r="H1475" s="111"/>
      <c r="I1475" s="111"/>
      <c r="J1475" s="111"/>
      <c r="K1475" s="111"/>
      <c r="L1475" s="111"/>
      <c r="M1475" s="111"/>
      <c r="N1475" s="111"/>
      <c r="O1475" s="111"/>
      <c r="P1475" s="111"/>
      <c r="Q1475" s="111"/>
      <c r="R1475" s="111"/>
      <c r="S1475" s="111"/>
      <c r="T1475" s="111"/>
      <c r="U1475" s="111"/>
      <c r="V1475" s="111"/>
      <c r="W1475" s="111"/>
      <c r="X1475" s="111"/>
      <c r="Y1475" s="111"/>
      <c r="Z1475" s="111"/>
      <c r="AA1475" s="111"/>
      <c r="AB1475" s="111"/>
      <c r="AC1475" s="111"/>
      <c r="AD1475" s="111"/>
      <c r="AE1475" s="111"/>
      <c r="AF1475" s="111"/>
      <c r="AG1475" s="111"/>
      <c r="AH1475" s="111"/>
      <c r="AI1475" s="111"/>
    </row>
    <row r="1476" spans="1:35" ht="18.75">
      <c r="A1476" s="111"/>
      <c r="B1476" s="139"/>
      <c r="C1476" s="111"/>
      <c r="D1476" s="111"/>
      <c r="E1476" s="111"/>
      <c r="F1476" s="111"/>
      <c r="G1476" s="111"/>
      <c r="H1476" s="111"/>
      <c r="I1476" s="111"/>
      <c r="J1476" s="111"/>
      <c r="K1476" s="111"/>
      <c r="L1476" s="111"/>
      <c r="M1476" s="111"/>
      <c r="N1476" s="111"/>
      <c r="O1476" s="111"/>
      <c r="P1476" s="111"/>
      <c r="Q1476" s="111"/>
      <c r="R1476" s="111"/>
      <c r="S1476" s="111"/>
      <c r="T1476" s="111"/>
      <c r="U1476" s="111"/>
      <c r="V1476" s="111"/>
      <c r="W1476" s="111"/>
      <c r="X1476" s="111"/>
      <c r="Y1476" s="111"/>
      <c r="Z1476" s="111"/>
      <c r="AA1476" s="111"/>
      <c r="AB1476" s="111"/>
      <c r="AC1476" s="111"/>
      <c r="AD1476" s="111"/>
      <c r="AE1476" s="111"/>
      <c r="AF1476" s="111"/>
      <c r="AG1476" s="111"/>
      <c r="AH1476" s="111"/>
      <c r="AI1476" s="111"/>
    </row>
    <row r="1477" spans="1:35" ht="18.75">
      <c r="A1477" s="111"/>
      <c r="B1477" s="139"/>
      <c r="C1477" s="111"/>
      <c r="D1477" s="111"/>
      <c r="E1477" s="111"/>
      <c r="F1477" s="111"/>
      <c r="G1477" s="111"/>
      <c r="H1477" s="111"/>
      <c r="I1477" s="111"/>
      <c r="J1477" s="111"/>
      <c r="K1477" s="111"/>
      <c r="L1477" s="111"/>
      <c r="M1477" s="111"/>
      <c r="N1477" s="111"/>
      <c r="O1477" s="111"/>
      <c r="P1477" s="111"/>
      <c r="Q1477" s="111"/>
      <c r="R1477" s="111"/>
      <c r="S1477" s="111"/>
      <c r="T1477" s="111"/>
      <c r="U1477" s="111"/>
      <c r="V1477" s="111"/>
      <c r="W1477" s="111"/>
      <c r="X1477" s="111"/>
      <c r="Y1477" s="111"/>
      <c r="Z1477" s="111"/>
      <c r="AA1477" s="111"/>
      <c r="AB1477" s="111"/>
      <c r="AC1477" s="111"/>
      <c r="AD1477" s="111"/>
      <c r="AE1477" s="111"/>
      <c r="AF1477" s="111"/>
      <c r="AG1477" s="111"/>
      <c r="AH1477" s="111"/>
      <c r="AI1477" s="111"/>
    </row>
    <row r="1478" spans="1:35" ht="18.75">
      <c r="A1478" s="111"/>
      <c r="B1478" s="139"/>
      <c r="C1478" s="111"/>
      <c r="D1478" s="111"/>
      <c r="E1478" s="111"/>
      <c r="F1478" s="111"/>
      <c r="G1478" s="111"/>
      <c r="H1478" s="111"/>
      <c r="I1478" s="111"/>
      <c r="J1478" s="111"/>
      <c r="K1478" s="111"/>
      <c r="L1478" s="111"/>
      <c r="M1478" s="111"/>
      <c r="N1478" s="111"/>
      <c r="O1478" s="111"/>
      <c r="P1478" s="111"/>
      <c r="Q1478" s="111"/>
      <c r="R1478" s="111"/>
      <c r="S1478" s="111"/>
      <c r="T1478" s="111"/>
      <c r="U1478" s="111"/>
      <c r="V1478" s="111"/>
      <c r="W1478" s="111"/>
      <c r="X1478" s="111"/>
      <c r="Y1478" s="111"/>
      <c r="Z1478" s="111"/>
      <c r="AA1478" s="111"/>
      <c r="AB1478" s="111"/>
      <c r="AC1478" s="111"/>
      <c r="AD1478" s="111"/>
      <c r="AE1478" s="111"/>
      <c r="AF1478" s="111"/>
      <c r="AG1478" s="111"/>
      <c r="AH1478" s="111"/>
      <c r="AI1478" s="111"/>
    </row>
    <row r="1479" spans="1:35" ht="18.75">
      <c r="A1479" s="111"/>
      <c r="B1479" s="139"/>
      <c r="C1479" s="111"/>
      <c r="D1479" s="111"/>
      <c r="E1479" s="111"/>
      <c r="F1479" s="111"/>
      <c r="G1479" s="111"/>
      <c r="H1479" s="111"/>
      <c r="I1479" s="111"/>
      <c r="J1479" s="111"/>
      <c r="K1479" s="111"/>
      <c r="L1479" s="111"/>
      <c r="M1479" s="111"/>
      <c r="N1479" s="111"/>
      <c r="O1479" s="111"/>
      <c r="P1479" s="111"/>
      <c r="Q1479" s="111"/>
      <c r="R1479" s="111"/>
      <c r="S1479" s="111"/>
      <c r="T1479" s="111"/>
      <c r="U1479" s="111"/>
      <c r="V1479" s="111"/>
      <c r="W1479" s="111"/>
      <c r="X1479" s="111"/>
      <c r="Y1479" s="111"/>
      <c r="Z1479" s="111"/>
      <c r="AA1479" s="111"/>
      <c r="AB1479" s="111"/>
      <c r="AC1479" s="111"/>
      <c r="AD1479" s="111"/>
      <c r="AE1479" s="111"/>
      <c r="AF1479" s="111"/>
      <c r="AG1479" s="111"/>
      <c r="AH1479" s="111"/>
      <c r="AI1479" s="111"/>
    </row>
    <row r="1480" spans="1:35" ht="18.75">
      <c r="A1480" s="111"/>
      <c r="B1480" s="139"/>
      <c r="C1480" s="111"/>
      <c r="D1480" s="111"/>
      <c r="E1480" s="111"/>
      <c r="F1480" s="111"/>
      <c r="G1480" s="111"/>
      <c r="H1480" s="111"/>
      <c r="I1480" s="111"/>
      <c r="J1480" s="111"/>
      <c r="K1480" s="111"/>
      <c r="L1480" s="111"/>
      <c r="M1480" s="111"/>
      <c r="N1480" s="111"/>
      <c r="O1480" s="111"/>
      <c r="P1480" s="111"/>
      <c r="Q1480" s="111"/>
      <c r="R1480" s="111"/>
      <c r="S1480" s="111"/>
      <c r="T1480" s="111"/>
      <c r="U1480" s="111"/>
      <c r="V1480" s="111"/>
      <c r="W1480" s="111"/>
      <c r="X1480" s="111"/>
      <c r="Y1480" s="111"/>
      <c r="Z1480" s="111"/>
      <c r="AA1480" s="111"/>
      <c r="AB1480" s="111"/>
      <c r="AC1480" s="111"/>
      <c r="AD1480" s="111"/>
      <c r="AE1480" s="111"/>
      <c r="AF1480" s="111"/>
      <c r="AG1480" s="111"/>
      <c r="AH1480" s="111"/>
      <c r="AI1480" s="111"/>
    </row>
    <row r="1481" spans="1:35" ht="18.75">
      <c r="A1481" s="111"/>
      <c r="B1481" s="139"/>
      <c r="C1481" s="111"/>
      <c r="D1481" s="111"/>
      <c r="E1481" s="111"/>
      <c r="F1481" s="111"/>
      <c r="G1481" s="111"/>
      <c r="H1481" s="111"/>
      <c r="I1481" s="111"/>
      <c r="J1481" s="111"/>
      <c r="K1481" s="111"/>
      <c r="L1481" s="111"/>
      <c r="M1481" s="111"/>
      <c r="N1481" s="111"/>
      <c r="O1481" s="111"/>
      <c r="P1481" s="111"/>
      <c r="Q1481" s="111"/>
      <c r="R1481" s="111"/>
      <c r="S1481" s="111"/>
      <c r="T1481" s="111"/>
      <c r="U1481" s="111"/>
      <c r="V1481" s="111"/>
      <c r="W1481" s="111"/>
      <c r="X1481" s="111"/>
      <c r="Y1481" s="111"/>
      <c r="Z1481" s="111"/>
      <c r="AA1481" s="111"/>
      <c r="AB1481" s="111"/>
      <c r="AC1481" s="111"/>
      <c r="AD1481" s="111"/>
      <c r="AE1481" s="111"/>
      <c r="AF1481" s="111"/>
      <c r="AG1481" s="111"/>
      <c r="AH1481" s="111"/>
      <c r="AI1481" s="111"/>
    </row>
    <row r="1482" spans="1:35" ht="18.75">
      <c r="A1482" s="111"/>
      <c r="B1482" s="139"/>
      <c r="C1482" s="111"/>
      <c r="D1482" s="111"/>
      <c r="E1482" s="111"/>
      <c r="F1482" s="111"/>
      <c r="G1482" s="111"/>
      <c r="H1482" s="111"/>
      <c r="I1482" s="111"/>
      <c r="J1482" s="111"/>
      <c r="K1482" s="111"/>
      <c r="L1482" s="111"/>
      <c r="M1482" s="111"/>
      <c r="N1482" s="111"/>
      <c r="O1482" s="111"/>
      <c r="P1482" s="111"/>
      <c r="Q1482" s="111"/>
      <c r="R1482" s="111"/>
      <c r="S1482" s="111"/>
      <c r="T1482" s="111"/>
      <c r="U1482" s="111"/>
      <c r="V1482" s="111"/>
      <c r="W1482" s="111"/>
      <c r="X1482" s="111"/>
      <c r="Y1482" s="111"/>
      <c r="Z1482" s="111"/>
      <c r="AA1482" s="111"/>
      <c r="AB1482" s="111"/>
      <c r="AC1482" s="111"/>
      <c r="AD1482" s="111"/>
      <c r="AE1482" s="111"/>
      <c r="AF1482" s="111"/>
      <c r="AG1482" s="111"/>
      <c r="AH1482" s="111"/>
      <c r="AI1482" s="111"/>
    </row>
    <row r="1483" spans="1:35" ht="18.75">
      <c r="A1483" s="111"/>
      <c r="B1483" s="139"/>
      <c r="C1483" s="111"/>
      <c r="D1483" s="111"/>
      <c r="E1483" s="111"/>
      <c r="F1483" s="111"/>
      <c r="G1483" s="111"/>
      <c r="H1483" s="111"/>
      <c r="I1483" s="111"/>
      <c r="J1483" s="111"/>
      <c r="K1483" s="111"/>
      <c r="L1483" s="111"/>
      <c r="M1483" s="111"/>
      <c r="N1483" s="111"/>
      <c r="O1483" s="111"/>
      <c r="P1483" s="111"/>
      <c r="Q1483" s="111"/>
      <c r="R1483" s="111"/>
      <c r="S1483" s="111"/>
      <c r="T1483" s="111"/>
      <c r="U1483" s="111"/>
      <c r="V1483" s="111"/>
      <c r="W1483" s="111"/>
      <c r="X1483" s="111"/>
      <c r="Y1483" s="111"/>
      <c r="Z1483" s="111"/>
      <c r="AA1483" s="111"/>
      <c r="AB1483" s="111"/>
      <c r="AC1483" s="111"/>
      <c r="AD1483" s="111"/>
      <c r="AE1483" s="111"/>
      <c r="AF1483" s="111"/>
      <c r="AG1483" s="111"/>
      <c r="AH1483" s="111"/>
      <c r="AI1483" s="111"/>
    </row>
    <row r="1484" spans="1:35" ht="18.75">
      <c r="A1484" s="111"/>
      <c r="B1484" s="139"/>
      <c r="C1484" s="111"/>
      <c r="D1484" s="111"/>
      <c r="E1484" s="111"/>
      <c r="F1484" s="111"/>
      <c r="G1484" s="111"/>
      <c r="H1484" s="111"/>
      <c r="I1484" s="111"/>
      <c r="J1484" s="111"/>
      <c r="K1484" s="111"/>
      <c r="L1484" s="111"/>
      <c r="M1484" s="111"/>
      <c r="N1484" s="111"/>
      <c r="O1484" s="111"/>
      <c r="P1484" s="111"/>
      <c r="Q1484" s="111"/>
      <c r="R1484" s="111"/>
      <c r="S1484" s="111"/>
      <c r="T1484" s="111"/>
      <c r="U1484" s="111"/>
      <c r="V1484" s="111"/>
      <c r="W1484" s="111"/>
      <c r="X1484" s="111"/>
      <c r="Y1484" s="111"/>
      <c r="Z1484" s="111"/>
      <c r="AA1484" s="111"/>
      <c r="AB1484" s="111"/>
      <c r="AC1484" s="111"/>
      <c r="AD1484" s="111"/>
      <c r="AE1484" s="111"/>
      <c r="AF1484" s="111"/>
      <c r="AG1484" s="111"/>
      <c r="AH1484" s="111"/>
      <c r="AI1484" s="111"/>
    </row>
    <row r="1485" spans="1:35" ht="18.75">
      <c r="A1485" s="111"/>
      <c r="B1485" s="139"/>
      <c r="C1485" s="111"/>
      <c r="D1485" s="111"/>
      <c r="E1485" s="111"/>
      <c r="F1485" s="111"/>
      <c r="G1485" s="111"/>
      <c r="H1485" s="111"/>
      <c r="I1485" s="111"/>
      <c r="J1485" s="111"/>
      <c r="K1485" s="111"/>
      <c r="L1485" s="111"/>
      <c r="M1485" s="111"/>
      <c r="N1485" s="111"/>
      <c r="O1485" s="111"/>
      <c r="P1485" s="111"/>
      <c r="Q1485" s="111"/>
      <c r="R1485" s="111"/>
      <c r="S1485" s="111"/>
      <c r="T1485" s="111"/>
      <c r="U1485" s="111"/>
      <c r="V1485" s="111"/>
      <c r="W1485" s="111"/>
      <c r="X1485" s="111"/>
      <c r="Y1485" s="111"/>
      <c r="Z1485" s="111"/>
      <c r="AA1485" s="111"/>
      <c r="AB1485" s="111"/>
      <c r="AC1485" s="111"/>
      <c r="AD1485" s="111"/>
      <c r="AE1485" s="111"/>
      <c r="AF1485" s="111"/>
      <c r="AG1485" s="111"/>
      <c r="AH1485" s="111"/>
      <c r="AI1485" s="111"/>
    </row>
    <row r="1486" spans="1:35" ht="18.75">
      <c r="A1486" s="111"/>
      <c r="B1486" s="139"/>
      <c r="C1486" s="111"/>
      <c r="D1486" s="111"/>
      <c r="E1486" s="111"/>
      <c r="F1486" s="111"/>
      <c r="G1486" s="111"/>
      <c r="H1486" s="111"/>
      <c r="I1486" s="111"/>
      <c r="J1486" s="111"/>
      <c r="K1486" s="111"/>
      <c r="L1486" s="111"/>
      <c r="M1486" s="111"/>
      <c r="N1486" s="111"/>
      <c r="O1486" s="111"/>
      <c r="P1486" s="111"/>
      <c r="Q1486" s="111"/>
      <c r="R1486" s="111"/>
      <c r="S1486" s="111"/>
      <c r="T1486" s="111"/>
      <c r="U1486" s="111"/>
      <c r="V1486" s="111"/>
      <c r="W1486" s="111"/>
      <c r="X1486" s="111"/>
      <c r="Y1486" s="111"/>
      <c r="Z1486" s="111"/>
      <c r="AA1486" s="111"/>
      <c r="AB1486" s="111"/>
      <c r="AC1486" s="111"/>
      <c r="AD1486" s="111"/>
      <c r="AE1486" s="111"/>
      <c r="AF1486" s="111"/>
      <c r="AG1486" s="111"/>
      <c r="AH1486" s="111"/>
      <c r="AI1486" s="111"/>
    </row>
    <row r="1487" spans="1:35" ht="18.75">
      <c r="A1487" s="111"/>
      <c r="B1487" s="139"/>
      <c r="C1487" s="111"/>
      <c r="D1487" s="111"/>
      <c r="E1487" s="111"/>
      <c r="F1487" s="111"/>
      <c r="G1487" s="111"/>
      <c r="H1487" s="111"/>
      <c r="I1487" s="111"/>
      <c r="J1487" s="111"/>
      <c r="K1487" s="111"/>
      <c r="L1487" s="111"/>
      <c r="M1487" s="111"/>
      <c r="N1487" s="111"/>
      <c r="O1487" s="111"/>
      <c r="P1487" s="111"/>
      <c r="Q1487" s="111"/>
      <c r="R1487" s="111"/>
      <c r="S1487" s="111"/>
      <c r="T1487" s="111"/>
      <c r="U1487" s="111"/>
      <c r="V1487" s="111"/>
      <c r="W1487" s="111"/>
      <c r="X1487" s="111"/>
      <c r="Y1487" s="111"/>
      <c r="Z1487" s="111"/>
      <c r="AA1487" s="111"/>
      <c r="AB1487" s="111"/>
      <c r="AC1487" s="111"/>
      <c r="AD1487" s="111"/>
      <c r="AE1487" s="111"/>
      <c r="AF1487" s="111"/>
      <c r="AG1487" s="111"/>
      <c r="AH1487" s="111"/>
      <c r="AI1487" s="111"/>
    </row>
    <row r="1488" spans="1:35" ht="18.75">
      <c r="A1488" s="111"/>
      <c r="B1488" s="139"/>
      <c r="C1488" s="111"/>
      <c r="D1488" s="111"/>
      <c r="E1488" s="111"/>
      <c r="F1488" s="111"/>
      <c r="G1488" s="111"/>
      <c r="H1488" s="111"/>
      <c r="I1488" s="111"/>
      <c r="J1488" s="111"/>
      <c r="K1488" s="111"/>
      <c r="L1488" s="111"/>
      <c r="M1488" s="111"/>
      <c r="N1488" s="111"/>
      <c r="O1488" s="111"/>
      <c r="P1488" s="111"/>
      <c r="Q1488" s="111"/>
      <c r="R1488" s="111"/>
      <c r="S1488" s="111"/>
      <c r="T1488" s="111"/>
      <c r="U1488" s="111"/>
      <c r="V1488" s="111"/>
      <c r="W1488" s="111"/>
      <c r="X1488" s="111"/>
      <c r="Y1488" s="111"/>
      <c r="Z1488" s="111"/>
      <c r="AA1488" s="111"/>
      <c r="AB1488" s="111"/>
      <c r="AC1488" s="111"/>
      <c r="AD1488" s="111"/>
      <c r="AE1488" s="111"/>
      <c r="AF1488" s="111"/>
      <c r="AG1488" s="111"/>
      <c r="AH1488" s="111"/>
      <c r="AI1488" s="111"/>
    </row>
    <row r="1489" spans="1:35" ht="18.75">
      <c r="A1489" s="111"/>
      <c r="B1489" s="139"/>
      <c r="C1489" s="111"/>
      <c r="D1489" s="111"/>
      <c r="E1489" s="111"/>
      <c r="F1489" s="111"/>
      <c r="G1489" s="111"/>
      <c r="H1489" s="111"/>
      <c r="I1489" s="111"/>
      <c r="J1489" s="111"/>
      <c r="K1489" s="111"/>
      <c r="L1489" s="111"/>
      <c r="M1489" s="111"/>
      <c r="N1489" s="111"/>
      <c r="O1489" s="111"/>
      <c r="P1489" s="111"/>
      <c r="Q1489" s="111"/>
      <c r="R1489" s="111"/>
      <c r="S1489" s="111"/>
      <c r="T1489" s="111"/>
      <c r="U1489" s="111"/>
      <c r="V1489" s="111"/>
      <c r="W1489" s="111"/>
      <c r="X1489" s="111"/>
      <c r="Y1489" s="111"/>
      <c r="Z1489" s="111"/>
      <c r="AA1489" s="111"/>
      <c r="AB1489" s="111"/>
      <c r="AC1489" s="111"/>
      <c r="AD1489" s="111"/>
      <c r="AE1489" s="111"/>
      <c r="AF1489" s="111"/>
      <c r="AG1489" s="111"/>
      <c r="AH1489" s="111"/>
      <c r="AI1489" s="111"/>
    </row>
    <row r="1490" spans="1:35" ht="18.75">
      <c r="A1490" s="111"/>
      <c r="B1490" s="139"/>
      <c r="C1490" s="111"/>
      <c r="D1490" s="111"/>
      <c r="E1490" s="111"/>
      <c r="F1490" s="111"/>
      <c r="G1490" s="111"/>
      <c r="H1490" s="111"/>
      <c r="I1490" s="111"/>
      <c r="J1490" s="111"/>
      <c r="K1490" s="111"/>
      <c r="L1490" s="111"/>
      <c r="M1490" s="111"/>
      <c r="N1490" s="111"/>
      <c r="O1490" s="111"/>
      <c r="P1490" s="111"/>
      <c r="Q1490" s="111"/>
      <c r="R1490" s="111"/>
      <c r="S1490" s="111"/>
      <c r="T1490" s="111"/>
      <c r="U1490" s="111"/>
      <c r="V1490" s="111"/>
      <c r="W1490" s="111"/>
      <c r="X1490" s="111"/>
      <c r="Y1490" s="111"/>
      <c r="Z1490" s="111"/>
      <c r="AA1490" s="111"/>
      <c r="AB1490" s="111"/>
      <c r="AC1490" s="111"/>
      <c r="AD1490" s="111"/>
      <c r="AE1490" s="111"/>
      <c r="AF1490" s="111"/>
      <c r="AG1490" s="111"/>
      <c r="AH1490" s="111"/>
      <c r="AI1490" s="111"/>
    </row>
    <row r="1491" spans="1:35" ht="18.75">
      <c r="A1491" s="111"/>
      <c r="B1491" s="139"/>
      <c r="C1491" s="111"/>
      <c r="D1491" s="111"/>
      <c r="E1491" s="111"/>
      <c r="F1491" s="111"/>
      <c r="G1491" s="111"/>
      <c r="H1491" s="111"/>
      <c r="I1491" s="111"/>
      <c r="J1491" s="111"/>
      <c r="K1491" s="111"/>
      <c r="L1491" s="111"/>
      <c r="M1491" s="111"/>
      <c r="N1491" s="111"/>
      <c r="O1491" s="111"/>
      <c r="P1491" s="111"/>
      <c r="Q1491" s="111"/>
      <c r="R1491" s="111"/>
      <c r="S1491" s="111"/>
      <c r="T1491" s="111"/>
      <c r="U1491" s="111"/>
      <c r="V1491" s="111"/>
      <c r="W1491" s="111"/>
      <c r="X1491" s="111"/>
      <c r="Y1491" s="111"/>
      <c r="Z1491" s="111"/>
      <c r="AA1491" s="111"/>
      <c r="AB1491" s="111"/>
      <c r="AC1491" s="111"/>
      <c r="AD1491" s="111"/>
      <c r="AE1491" s="111"/>
      <c r="AF1491" s="111"/>
      <c r="AG1491" s="111"/>
      <c r="AH1491" s="111"/>
      <c r="AI1491" s="111"/>
    </row>
    <row r="1492" spans="1:35" ht="18.75">
      <c r="A1492" s="111"/>
      <c r="B1492" s="139"/>
      <c r="C1492" s="111"/>
      <c r="D1492" s="111"/>
      <c r="E1492" s="111"/>
      <c r="F1492" s="111"/>
      <c r="G1492" s="111"/>
      <c r="H1492" s="111"/>
      <c r="I1492" s="111"/>
      <c r="J1492" s="111"/>
      <c r="K1492" s="111"/>
      <c r="L1492" s="111"/>
      <c r="M1492" s="111"/>
      <c r="N1492" s="111"/>
      <c r="O1492" s="111"/>
      <c r="P1492" s="111"/>
      <c r="Q1492" s="111"/>
      <c r="R1492" s="111"/>
      <c r="S1492" s="111"/>
      <c r="T1492" s="111"/>
      <c r="U1492" s="111"/>
      <c r="V1492" s="111"/>
      <c r="W1492" s="111"/>
      <c r="X1492" s="111"/>
      <c r="Y1492" s="111"/>
      <c r="Z1492" s="111"/>
      <c r="AA1492" s="111"/>
      <c r="AB1492" s="111"/>
      <c r="AC1492" s="111"/>
      <c r="AD1492" s="111"/>
      <c r="AE1492" s="111"/>
      <c r="AF1492" s="111"/>
      <c r="AG1492" s="111"/>
      <c r="AH1492" s="111"/>
      <c r="AI1492" s="111"/>
    </row>
    <row r="1493" spans="1:35" ht="18.75">
      <c r="A1493" s="111"/>
      <c r="B1493" s="139"/>
      <c r="C1493" s="111"/>
      <c r="D1493" s="111"/>
      <c r="E1493" s="111"/>
      <c r="F1493" s="111"/>
      <c r="G1493" s="111"/>
      <c r="H1493" s="111"/>
      <c r="I1493" s="111"/>
      <c r="J1493" s="111"/>
      <c r="K1493" s="111"/>
      <c r="L1493" s="111"/>
      <c r="M1493" s="111"/>
      <c r="N1493" s="111"/>
      <c r="O1493" s="111"/>
      <c r="P1493" s="111"/>
      <c r="Q1493" s="111"/>
      <c r="R1493" s="111"/>
      <c r="S1493" s="111"/>
      <c r="T1493" s="111"/>
      <c r="U1493" s="111"/>
      <c r="V1493" s="111"/>
      <c r="W1493" s="111"/>
      <c r="X1493" s="111"/>
      <c r="Y1493" s="111"/>
      <c r="Z1493" s="111"/>
      <c r="AA1493" s="111"/>
      <c r="AB1493" s="111"/>
      <c r="AC1493" s="111"/>
      <c r="AD1493" s="111"/>
      <c r="AE1493" s="111"/>
      <c r="AF1493" s="111"/>
      <c r="AG1493" s="111"/>
      <c r="AH1493" s="111"/>
      <c r="AI1493" s="111"/>
    </row>
    <row r="1494" spans="1:35" ht="18.75">
      <c r="A1494" s="111"/>
      <c r="B1494" s="139"/>
      <c r="C1494" s="111"/>
      <c r="D1494" s="111"/>
      <c r="E1494" s="111"/>
      <c r="F1494" s="111"/>
      <c r="G1494" s="111"/>
      <c r="H1494" s="111"/>
      <c r="I1494" s="111"/>
      <c r="J1494" s="111"/>
      <c r="K1494" s="111"/>
      <c r="L1494" s="111"/>
      <c r="M1494" s="111"/>
      <c r="N1494" s="111"/>
      <c r="O1494" s="111"/>
      <c r="P1494" s="111"/>
      <c r="Q1494" s="111"/>
      <c r="R1494" s="111"/>
      <c r="S1494" s="111"/>
      <c r="T1494" s="111"/>
      <c r="U1494" s="111"/>
      <c r="V1494" s="111"/>
      <c r="W1494" s="111"/>
      <c r="X1494" s="111"/>
      <c r="Y1494" s="111"/>
      <c r="Z1494" s="111"/>
      <c r="AA1494" s="111"/>
      <c r="AB1494" s="111"/>
      <c r="AC1494" s="111"/>
      <c r="AD1494" s="111"/>
      <c r="AE1494" s="111"/>
      <c r="AF1494" s="111"/>
      <c r="AG1494" s="111"/>
      <c r="AH1494" s="111"/>
      <c r="AI1494" s="111"/>
    </row>
    <row r="1495" spans="1:35" ht="18.75">
      <c r="A1495" s="111"/>
      <c r="B1495" s="139"/>
      <c r="C1495" s="111"/>
      <c r="D1495" s="111"/>
      <c r="E1495" s="111"/>
      <c r="F1495" s="111"/>
      <c r="G1495" s="111"/>
      <c r="H1495" s="111"/>
      <c r="I1495" s="111"/>
      <c r="J1495" s="111"/>
      <c r="K1495" s="111"/>
      <c r="L1495" s="111"/>
      <c r="M1495" s="111"/>
      <c r="N1495" s="111"/>
      <c r="O1495" s="111"/>
      <c r="P1495" s="111"/>
      <c r="Q1495" s="111"/>
      <c r="R1495" s="111"/>
      <c r="S1495" s="111"/>
      <c r="T1495" s="111"/>
      <c r="U1495" s="111"/>
      <c r="V1495" s="111"/>
      <c r="W1495" s="111"/>
      <c r="X1495" s="111"/>
      <c r="Y1495" s="111"/>
      <c r="Z1495" s="111"/>
      <c r="AA1495" s="111"/>
      <c r="AB1495" s="111"/>
      <c r="AC1495" s="111"/>
      <c r="AD1495" s="111"/>
      <c r="AE1495" s="111"/>
      <c r="AF1495" s="111"/>
      <c r="AG1495" s="111"/>
      <c r="AH1495" s="111"/>
      <c r="AI1495" s="111"/>
    </row>
    <row r="1496" spans="1:35" ht="18.75">
      <c r="A1496" s="111"/>
      <c r="B1496" s="139"/>
      <c r="C1496" s="111"/>
      <c r="D1496" s="111"/>
      <c r="E1496" s="111"/>
      <c r="F1496" s="111"/>
      <c r="G1496" s="111"/>
      <c r="H1496" s="111"/>
      <c r="I1496" s="111"/>
      <c r="J1496" s="111"/>
      <c r="K1496" s="111"/>
      <c r="L1496" s="111"/>
      <c r="M1496" s="111"/>
      <c r="N1496" s="111"/>
      <c r="O1496" s="111"/>
      <c r="P1496" s="111"/>
      <c r="Q1496" s="111"/>
      <c r="R1496" s="111"/>
      <c r="S1496" s="111"/>
      <c r="T1496" s="111"/>
      <c r="U1496" s="111"/>
      <c r="V1496" s="111"/>
      <c r="W1496" s="111"/>
      <c r="X1496" s="111"/>
      <c r="Y1496" s="111"/>
      <c r="Z1496" s="111"/>
      <c r="AA1496" s="111"/>
      <c r="AB1496" s="111"/>
      <c r="AC1496" s="111"/>
      <c r="AD1496" s="111"/>
      <c r="AE1496" s="111"/>
      <c r="AF1496" s="111"/>
      <c r="AG1496" s="111"/>
      <c r="AH1496" s="111"/>
      <c r="AI1496" s="111"/>
    </row>
    <row r="1497" spans="1:35" ht="18.75">
      <c r="A1497" s="111"/>
      <c r="B1497" s="139"/>
      <c r="C1497" s="111"/>
      <c r="D1497" s="111"/>
      <c r="E1497" s="111"/>
      <c r="F1497" s="111"/>
      <c r="G1497" s="111"/>
      <c r="H1497" s="111"/>
      <c r="I1497" s="111"/>
      <c r="J1497" s="111"/>
      <c r="K1497" s="111"/>
      <c r="L1497" s="111"/>
      <c r="M1497" s="111"/>
      <c r="N1497" s="111"/>
      <c r="O1497" s="111"/>
      <c r="P1497" s="111"/>
      <c r="Q1497" s="111"/>
      <c r="R1497" s="111"/>
      <c r="S1497" s="111"/>
      <c r="T1497" s="111"/>
      <c r="U1497" s="111"/>
      <c r="V1497" s="111"/>
      <c r="W1497" s="111"/>
      <c r="X1497" s="111"/>
      <c r="Y1497" s="111"/>
      <c r="Z1497" s="111"/>
      <c r="AA1497" s="111"/>
      <c r="AB1497" s="111"/>
      <c r="AC1497" s="111"/>
      <c r="AD1497" s="111"/>
      <c r="AE1497" s="111"/>
      <c r="AF1497" s="111"/>
      <c r="AG1497" s="111"/>
      <c r="AH1497" s="111"/>
      <c r="AI1497" s="111"/>
    </row>
    <row r="1498" spans="1:35" ht="18.75">
      <c r="A1498" s="111"/>
      <c r="B1498" s="139"/>
      <c r="C1498" s="111"/>
      <c r="D1498" s="111"/>
      <c r="E1498" s="111"/>
      <c r="F1498" s="111"/>
      <c r="G1498" s="111"/>
      <c r="H1498" s="111"/>
      <c r="I1498" s="111"/>
      <c r="J1498" s="111"/>
      <c r="K1498" s="111"/>
      <c r="L1498" s="111"/>
      <c r="M1498" s="111"/>
      <c r="N1498" s="111"/>
      <c r="O1498" s="111"/>
      <c r="P1498" s="111"/>
      <c r="Q1498" s="111"/>
      <c r="R1498" s="111"/>
      <c r="S1498" s="111"/>
      <c r="T1498" s="111"/>
      <c r="U1498" s="111"/>
      <c r="V1498" s="111"/>
      <c r="W1498" s="111"/>
      <c r="X1498" s="111"/>
      <c r="Y1498" s="111"/>
      <c r="Z1498" s="111"/>
      <c r="AA1498" s="111"/>
      <c r="AB1498" s="111"/>
      <c r="AC1498" s="111"/>
      <c r="AD1498" s="111"/>
      <c r="AE1498" s="111"/>
      <c r="AF1498" s="111"/>
      <c r="AG1498" s="111"/>
      <c r="AH1498" s="111"/>
      <c r="AI1498" s="111"/>
    </row>
    <row r="1499" spans="1:35" ht="18.75">
      <c r="A1499" s="111"/>
      <c r="B1499" s="139"/>
      <c r="C1499" s="111"/>
      <c r="D1499" s="111"/>
      <c r="E1499" s="111"/>
      <c r="F1499" s="111"/>
      <c r="G1499" s="111"/>
      <c r="H1499" s="111"/>
      <c r="I1499" s="111"/>
      <c r="J1499" s="111"/>
      <c r="K1499" s="111"/>
      <c r="L1499" s="111"/>
      <c r="M1499" s="111"/>
      <c r="N1499" s="111"/>
      <c r="O1499" s="111"/>
      <c r="P1499" s="111"/>
      <c r="Q1499" s="111"/>
      <c r="R1499" s="111"/>
      <c r="S1499" s="111"/>
      <c r="T1499" s="111"/>
      <c r="U1499" s="111"/>
      <c r="V1499" s="111"/>
      <c r="W1499" s="111"/>
      <c r="X1499" s="111"/>
      <c r="Y1499" s="111"/>
      <c r="Z1499" s="111"/>
      <c r="AA1499" s="111"/>
      <c r="AB1499" s="111"/>
      <c r="AC1499" s="111"/>
      <c r="AD1499" s="111"/>
      <c r="AE1499" s="111"/>
      <c r="AF1499" s="111"/>
      <c r="AG1499" s="111"/>
      <c r="AH1499" s="111"/>
      <c r="AI1499" s="111"/>
    </row>
    <row r="1500" spans="1:35" ht="18.75">
      <c r="A1500" s="111"/>
      <c r="B1500" s="139"/>
      <c r="C1500" s="111"/>
      <c r="D1500" s="111"/>
      <c r="E1500" s="111"/>
      <c r="F1500" s="111"/>
      <c r="G1500" s="111"/>
      <c r="H1500" s="111"/>
      <c r="I1500" s="111"/>
      <c r="J1500" s="111"/>
      <c r="K1500" s="111"/>
      <c r="L1500" s="111"/>
      <c r="M1500" s="111"/>
      <c r="N1500" s="111"/>
      <c r="O1500" s="111"/>
      <c r="P1500" s="111"/>
      <c r="Q1500" s="111"/>
      <c r="R1500" s="111"/>
      <c r="S1500" s="111"/>
      <c r="T1500" s="111"/>
      <c r="U1500" s="111"/>
      <c r="V1500" s="111"/>
      <c r="W1500" s="111"/>
      <c r="X1500" s="111"/>
      <c r="Y1500" s="111"/>
      <c r="Z1500" s="111"/>
      <c r="AA1500" s="111"/>
      <c r="AB1500" s="111"/>
      <c r="AC1500" s="111"/>
      <c r="AD1500" s="111"/>
      <c r="AE1500" s="111"/>
      <c r="AF1500" s="111"/>
      <c r="AG1500" s="111"/>
      <c r="AH1500" s="111"/>
      <c r="AI1500" s="111"/>
    </row>
    <row r="1501" spans="1:35" ht="18.75">
      <c r="A1501" s="111"/>
      <c r="B1501" s="139"/>
      <c r="C1501" s="111"/>
      <c r="D1501" s="111"/>
      <c r="E1501" s="111"/>
      <c r="F1501" s="111"/>
      <c r="G1501" s="111"/>
      <c r="H1501" s="111"/>
      <c r="I1501" s="111"/>
      <c r="J1501" s="111"/>
      <c r="K1501" s="111"/>
      <c r="L1501" s="111"/>
      <c r="M1501" s="111"/>
      <c r="N1501" s="111"/>
      <c r="O1501" s="111"/>
      <c r="P1501" s="111"/>
      <c r="Q1501" s="111"/>
      <c r="R1501" s="111"/>
      <c r="S1501" s="111"/>
      <c r="T1501" s="111"/>
      <c r="U1501" s="111"/>
      <c r="V1501" s="111"/>
      <c r="W1501" s="111"/>
      <c r="X1501" s="111"/>
      <c r="Y1501" s="111"/>
      <c r="Z1501" s="111"/>
      <c r="AA1501" s="111"/>
      <c r="AB1501" s="111"/>
      <c r="AC1501" s="111"/>
      <c r="AD1501" s="111"/>
      <c r="AE1501" s="111"/>
      <c r="AF1501" s="111"/>
      <c r="AG1501" s="111"/>
      <c r="AH1501" s="111"/>
      <c r="AI1501" s="111"/>
    </row>
    <row r="1502" spans="1:35" ht="18.75">
      <c r="A1502" s="111"/>
      <c r="B1502" s="139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  <c r="AG1502" s="111"/>
      <c r="AH1502" s="111"/>
      <c r="AI1502" s="111"/>
    </row>
    <row r="1503" spans="1:35" ht="18.75">
      <c r="A1503" s="111"/>
      <c r="B1503" s="139"/>
      <c r="C1503" s="111"/>
      <c r="D1503" s="111"/>
      <c r="E1503" s="111"/>
      <c r="F1503" s="111"/>
      <c r="G1503" s="111"/>
      <c r="H1503" s="111"/>
      <c r="I1503" s="111"/>
      <c r="J1503" s="111"/>
      <c r="K1503" s="111"/>
      <c r="L1503" s="111"/>
      <c r="M1503" s="111"/>
      <c r="N1503" s="111"/>
      <c r="O1503" s="111"/>
      <c r="P1503" s="111"/>
      <c r="Q1503" s="111"/>
      <c r="R1503" s="111"/>
      <c r="S1503" s="111"/>
      <c r="T1503" s="111"/>
      <c r="U1503" s="111"/>
      <c r="V1503" s="111"/>
      <c r="W1503" s="111"/>
      <c r="X1503" s="111"/>
      <c r="Y1503" s="111"/>
      <c r="Z1503" s="111"/>
      <c r="AA1503" s="111"/>
      <c r="AB1503" s="111"/>
      <c r="AC1503" s="111"/>
      <c r="AD1503" s="111"/>
      <c r="AE1503" s="111"/>
      <c r="AF1503" s="111"/>
      <c r="AG1503" s="111"/>
      <c r="AH1503" s="111"/>
      <c r="AI1503" s="111"/>
    </row>
    <row r="1504" spans="1:35" ht="18.75">
      <c r="A1504" s="111"/>
      <c r="B1504" s="139"/>
      <c r="C1504" s="111"/>
      <c r="D1504" s="111"/>
      <c r="E1504" s="111"/>
      <c r="F1504" s="111"/>
      <c r="G1504" s="111"/>
      <c r="H1504" s="111"/>
      <c r="I1504" s="111"/>
      <c r="J1504" s="111"/>
      <c r="K1504" s="111"/>
      <c r="L1504" s="111"/>
      <c r="M1504" s="111"/>
      <c r="N1504" s="111"/>
      <c r="O1504" s="111"/>
      <c r="P1504" s="111"/>
      <c r="Q1504" s="111"/>
      <c r="R1504" s="111"/>
      <c r="S1504" s="111"/>
      <c r="T1504" s="111"/>
      <c r="U1504" s="111"/>
      <c r="V1504" s="111"/>
      <c r="W1504" s="111"/>
      <c r="X1504" s="111"/>
      <c r="Y1504" s="111"/>
      <c r="Z1504" s="111"/>
      <c r="AA1504" s="111"/>
      <c r="AB1504" s="111"/>
      <c r="AC1504" s="111"/>
      <c r="AD1504" s="111"/>
      <c r="AE1504" s="111"/>
      <c r="AF1504" s="111"/>
      <c r="AG1504" s="111"/>
      <c r="AH1504" s="111"/>
      <c r="AI1504" s="111"/>
    </row>
    <row r="1505" spans="1:35" ht="18.75">
      <c r="A1505" s="111"/>
      <c r="B1505" s="139"/>
      <c r="C1505" s="111"/>
      <c r="D1505" s="111"/>
      <c r="E1505" s="111"/>
      <c r="F1505" s="111"/>
      <c r="G1505" s="111"/>
      <c r="H1505" s="111"/>
      <c r="I1505" s="111"/>
      <c r="J1505" s="111"/>
      <c r="K1505" s="111"/>
      <c r="L1505" s="111"/>
      <c r="M1505" s="111"/>
      <c r="N1505" s="111"/>
      <c r="O1505" s="111"/>
      <c r="P1505" s="111"/>
      <c r="Q1505" s="111"/>
      <c r="R1505" s="111"/>
      <c r="S1505" s="111"/>
      <c r="T1505" s="111"/>
      <c r="U1505" s="111"/>
      <c r="V1505" s="111"/>
      <c r="W1505" s="111"/>
      <c r="X1505" s="111"/>
      <c r="Y1505" s="111"/>
      <c r="Z1505" s="111"/>
      <c r="AA1505" s="111"/>
      <c r="AB1505" s="111"/>
      <c r="AC1505" s="111"/>
      <c r="AD1505" s="111"/>
      <c r="AE1505" s="111"/>
      <c r="AF1505" s="111"/>
      <c r="AG1505" s="111"/>
      <c r="AH1505" s="111"/>
      <c r="AI1505" s="111"/>
    </row>
    <row r="1506" spans="1:35" ht="18.75">
      <c r="A1506" s="111"/>
      <c r="B1506" s="139"/>
      <c r="C1506" s="111"/>
      <c r="D1506" s="111"/>
      <c r="E1506" s="111"/>
      <c r="F1506" s="111"/>
      <c r="G1506" s="111"/>
      <c r="H1506" s="111"/>
      <c r="I1506" s="111"/>
      <c r="J1506" s="111"/>
      <c r="K1506" s="111"/>
      <c r="L1506" s="111"/>
      <c r="M1506" s="111"/>
      <c r="N1506" s="111"/>
      <c r="O1506" s="111"/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/>
      <c r="AB1506" s="111"/>
      <c r="AC1506" s="111"/>
      <c r="AD1506" s="111"/>
      <c r="AE1506" s="111"/>
      <c r="AF1506" s="111"/>
      <c r="AG1506" s="111"/>
      <c r="AH1506" s="111"/>
      <c r="AI1506" s="111"/>
    </row>
    <row r="1507" spans="1:35" ht="18.75">
      <c r="A1507" s="111"/>
      <c r="B1507" s="139"/>
      <c r="C1507" s="111"/>
      <c r="D1507" s="111"/>
      <c r="E1507" s="111"/>
      <c r="F1507" s="111"/>
      <c r="G1507" s="111"/>
      <c r="H1507" s="111"/>
      <c r="I1507" s="111"/>
      <c r="J1507" s="111"/>
      <c r="K1507" s="111"/>
      <c r="L1507" s="111"/>
      <c r="M1507" s="111"/>
      <c r="N1507" s="111"/>
      <c r="O1507" s="111"/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/>
      <c r="AB1507" s="111"/>
      <c r="AC1507" s="111"/>
      <c r="AD1507" s="111"/>
      <c r="AE1507" s="111"/>
      <c r="AF1507" s="111"/>
      <c r="AG1507" s="111"/>
      <c r="AH1507" s="111"/>
      <c r="AI1507" s="111"/>
    </row>
    <row r="1508" spans="1:35" ht="18.75">
      <c r="A1508" s="111"/>
      <c r="B1508" s="139"/>
      <c r="C1508" s="111"/>
      <c r="D1508" s="111"/>
      <c r="E1508" s="111"/>
      <c r="F1508" s="111"/>
      <c r="G1508" s="111"/>
      <c r="H1508" s="111"/>
      <c r="I1508" s="111"/>
      <c r="J1508" s="111"/>
      <c r="K1508" s="111"/>
      <c r="L1508" s="111"/>
      <c r="M1508" s="111"/>
      <c r="N1508" s="111"/>
      <c r="O1508" s="111"/>
      <c r="P1508" s="111"/>
      <c r="Q1508" s="111"/>
      <c r="R1508" s="111"/>
      <c r="S1508" s="111"/>
      <c r="T1508" s="111"/>
      <c r="U1508" s="111"/>
      <c r="V1508" s="111"/>
      <c r="W1508" s="111"/>
      <c r="X1508" s="111"/>
      <c r="Y1508" s="111"/>
      <c r="Z1508" s="111"/>
      <c r="AA1508" s="111"/>
      <c r="AB1508" s="111"/>
      <c r="AC1508" s="111"/>
      <c r="AD1508" s="111"/>
      <c r="AE1508" s="111"/>
      <c r="AF1508" s="111"/>
      <c r="AG1508" s="111"/>
      <c r="AH1508" s="111"/>
      <c r="AI1508" s="111"/>
    </row>
    <row r="1509" spans="1:35" ht="18.75">
      <c r="A1509" s="111"/>
      <c r="B1509" s="139"/>
      <c r="C1509" s="111"/>
      <c r="D1509" s="111"/>
      <c r="E1509" s="111"/>
      <c r="F1509" s="111"/>
      <c r="G1509" s="111"/>
      <c r="H1509" s="111"/>
      <c r="I1509" s="111"/>
      <c r="J1509" s="111"/>
      <c r="K1509" s="111"/>
      <c r="L1509" s="111"/>
      <c r="M1509" s="111"/>
      <c r="N1509" s="111"/>
      <c r="O1509" s="111"/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/>
      <c r="AB1509" s="111"/>
      <c r="AC1509" s="111"/>
      <c r="AD1509" s="111"/>
      <c r="AE1509" s="111"/>
      <c r="AF1509" s="111"/>
      <c r="AG1509" s="111"/>
      <c r="AH1509" s="111"/>
      <c r="AI1509" s="111"/>
    </row>
    <row r="1510" spans="1:35" ht="18.75">
      <c r="A1510" s="111"/>
      <c r="B1510" s="139"/>
      <c r="C1510" s="111"/>
      <c r="D1510" s="111"/>
      <c r="E1510" s="111"/>
      <c r="F1510" s="111"/>
      <c r="G1510" s="111"/>
      <c r="H1510" s="111"/>
      <c r="I1510" s="111"/>
      <c r="J1510" s="111"/>
      <c r="K1510" s="111"/>
      <c r="L1510" s="111"/>
      <c r="M1510" s="111"/>
      <c r="N1510" s="111"/>
      <c r="O1510" s="111"/>
      <c r="P1510" s="111"/>
      <c r="Q1510" s="111"/>
      <c r="R1510" s="111"/>
      <c r="S1510" s="111"/>
      <c r="T1510" s="111"/>
      <c r="U1510" s="111"/>
      <c r="V1510" s="111"/>
      <c r="W1510" s="111"/>
      <c r="X1510" s="111"/>
      <c r="Y1510" s="111"/>
      <c r="Z1510" s="111"/>
      <c r="AA1510" s="111"/>
      <c r="AB1510" s="111"/>
      <c r="AC1510" s="111"/>
      <c r="AD1510" s="111"/>
      <c r="AE1510" s="111"/>
      <c r="AF1510" s="111"/>
      <c r="AG1510" s="111"/>
      <c r="AH1510" s="111"/>
      <c r="AI1510" s="111"/>
    </row>
    <row r="1511" spans="1:35" ht="18.75">
      <c r="A1511" s="111"/>
      <c r="B1511" s="139"/>
      <c r="C1511" s="111"/>
      <c r="D1511" s="111"/>
      <c r="E1511" s="111"/>
      <c r="F1511" s="111"/>
      <c r="G1511" s="111"/>
      <c r="H1511" s="111"/>
      <c r="I1511" s="111"/>
      <c r="J1511" s="111"/>
      <c r="K1511" s="111"/>
      <c r="L1511" s="111"/>
      <c r="M1511" s="111"/>
      <c r="N1511" s="111"/>
      <c r="O1511" s="111"/>
      <c r="P1511" s="111"/>
      <c r="Q1511" s="111"/>
      <c r="R1511" s="111"/>
      <c r="S1511" s="111"/>
      <c r="T1511" s="111"/>
      <c r="U1511" s="111"/>
      <c r="V1511" s="111"/>
      <c r="W1511" s="111"/>
      <c r="X1511" s="111"/>
      <c r="Y1511" s="111"/>
      <c r="Z1511" s="111"/>
      <c r="AA1511" s="111"/>
      <c r="AB1511" s="111"/>
      <c r="AC1511" s="111"/>
      <c r="AD1511" s="111"/>
      <c r="AE1511" s="111"/>
      <c r="AF1511" s="111"/>
      <c r="AG1511" s="111"/>
      <c r="AH1511" s="111"/>
      <c r="AI1511" s="111"/>
    </row>
    <row r="1512" spans="1:35" ht="18.75">
      <c r="A1512" s="111"/>
      <c r="B1512" s="139"/>
      <c r="C1512" s="111"/>
      <c r="D1512" s="111"/>
      <c r="E1512" s="111"/>
      <c r="F1512" s="111"/>
      <c r="G1512" s="111"/>
      <c r="H1512" s="111"/>
      <c r="I1512" s="111"/>
      <c r="J1512" s="111"/>
      <c r="K1512" s="111"/>
      <c r="L1512" s="111"/>
      <c r="M1512" s="111"/>
      <c r="N1512" s="111"/>
      <c r="O1512" s="111"/>
      <c r="P1512" s="111"/>
      <c r="Q1512" s="111"/>
      <c r="R1512" s="111"/>
      <c r="S1512" s="111"/>
      <c r="T1512" s="111"/>
      <c r="U1512" s="111"/>
      <c r="V1512" s="111"/>
      <c r="W1512" s="111"/>
      <c r="X1512" s="111"/>
      <c r="Y1512" s="111"/>
      <c r="Z1512" s="111"/>
      <c r="AA1512" s="111"/>
      <c r="AB1512" s="111"/>
      <c r="AC1512" s="111"/>
      <c r="AD1512" s="111"/>
      <c r="AE1512" s="111"/>
      <c r="AF1512" s="111"/>
      <c r="AG1512" s="111"/>
      <c r="AH1512" s="111"/>
      <c r="AI1512" s="111"/>
    </row>
    <row r="1513" spans="1:35" ht="18.75">
      <c r="A1513" s="111"/>
      <c r="B1513" s="139"/>
      <c r="C1513" s="111"/>
      <c r="D1513" s="111"/>
      <c r="E1513" s="111"/>
      <c r="F1513" s="111"/>
      <c r="G1513" s="111"/>
      <c r="H1513" s="111"/>
      <c r="I1513" s="111"/>
      <c r="J1513" s="111"/>
      <c r="K1513" s="111"/>
      <c r="L1513" s="111"/>
      <c r="M1513" s="111"/>
      <c r="N1513" s="111"/>
      <c r="O1513" s="111"/>
      <c r="P1513" s="111"/>
      <c r="Q1513" s="111"/>
      <c r="R1513" s="111"/>
      <c r="S1513" s="111"/>
      <c r="T1513" s="111"/>
      <c r="U1513" s="111"/>
      <c r="V1513" s="111"/>
      <c r="W1513" s="111"/>
      <c r="X1513" s="111"/>
      <c r="Y1513" s="111"/>
      <c r="Z1513" s="111"/>
      <c r="AA1513" s="111"/>
      <c r="AB1513" s="111"/>
      <c r="AC1513" s="111"/>
      <c r="AD1513" s="111"/>
      <c r="AE1513" s="111"/>
      <c r="AF1513" s="111"/>
      <c r="AG1513" s="111"/>
      <c r="AH1513" s="111"/>
      <c r="AI1513" s="111"/>
    </row>
    <row r="1514" spans="1:35" ht="18.75">
      <c r="A1514" s="111"/>
      <c r="B1514" s="139"/>
      <c r="C1514" s="111"/>
      <c r="D1514" s="111"/>
      <c r="E1514" s="111"/>
      <c r="F1514" s="111"/>
      <c r="G1514" s="111"/>
      <c r="H1514" s="111"/>
      <c r="I1514" s="111"/>
      <c r="J1514" s="111"/>
      <c r="K1514" s="111"/>
      <c r="L1514" s="111"/>
      <c r="M1514" s="111"/>
      <c r="N1514" s="111"/>
      <c r="O1514" s="111"/>
      <c r="P1514" s="111"/>
      <c r="Q1514" s="111"/>
      <c r="R1514" s="111"/>
      <c r="S1514" s="111"/>
      <c r="T1514" s="111"/>
      <c r="U1514" s="111"/>
      <c r="V1514" s="111"/>
      <c r="W1514" s="111"/>
      <c r="X1514" s="111"/>
      <c r="Y1514" s="111"/>
      <c r="Z1514" s="111"/>
      <c r="AA1514" s="111"/>
      <c r="AB1514" s="111"/>
      <c r="AC1514" s="111"/>
      <c r="AD1514" s="111"/>
      <c r="AE1514" s="111"/>
      <c r="AF1514" s="111"/>
      <c r="AG1514" s="111"/>
      <c r="AH1514" s="111"/>
      <c r="AI1514" s="111"/>
    </row>
    <row r="1515" spans="1:35" ht="18.75">
      <c r="A1515" s="111"/>
      <c r="B1515" s="139"/>
      <c r="C1515" s="111"/>
      <c r="D1515" s="111"/>
      <c r="E1515" s="111"/>
      <c r="F1515" s="111"/>
      <c r="G1515" s="111"/>
      <c r="H1515" s="111"/>
      <c r="I1515" s="111"/>
      <c r="J1515" s="111"/>
      <c r="K1515" s="111"/>
      <c r="L1515" s="111"/>
      <c r="M1515" s="111"/>
      <c r="N1515" s="111"/>
      <c r="O1515" s="111"/>
      <c r="P1515" s="111"/>
      <c r="Q1515" s="111"/>
      <c r="R1515" s="111"/>
      <c r="S1515" s="111"/>
      <c r="T1515" s="111"/>
      <c r="U1515" s="111"/>
      <c r="V1515" s="111"/>
      <c r="W1515" s="111"/>
      <c r="X1515" s="111"/>
      <c r="Y1515" s="111"/>
      <c r="Z1515" s="111"/>
      <c r="AA1515" s="111"/>
      <c r="AB1515" s="111"/>
      <c r="AC1515" s="111"/>
      <c r="AD1515" s="111"/>
      <c r="AE1515" s="111"/>
      <c r="AF1515" s="111"/>
      <c r="AG1515" s="111"/>
      <c r="AH1515" s="111"/>
      <c r="AI1515" s="111"/>
    </row>
    <row r="1516" spans="1:35" ht="18.75">
      <c r="A1516" s="111"/>
      <c r="B1516" s="139"/>
      <c r="C1516" s="111"/>
      <c r="D1516" s="111"/>
      <c r="E1516" s="111"/>
      <c r="F1516" s="111"/>
      <c r="G1516" s="111"/>
      <c r="H1516" s="111"/>
      <c r="I1516" s="111"/>
      <c r="J1516" s="111"/>
      <c r="K1516" s="111"/>
      <c r="L1516" s="111"/>
      <c r="M1516" s="111"/>
      <c r="N1516" s="111"/>
      <c r="O1516" s="111"/>
      <c r="P1516" s="111"/>
      <c r="Q1516" s="111"/>
      <c r="R1516" s="111"/>
      <c r="S1516" s="111"/>
      <c r="T1516" s="111"/>
      <c r="U1516" s="111"/>
      <c r="V1516" s="111"/>
      <c r="W1516" s="111"/>
      <c r="X1516" s="111"/>
      <c r="Y1516" s="111"/>
      <c r="Z1516" s="111"/>
      <c r="AA1516" s="111"/>
      <c r="AB1516" s="111"/>
      <c r="AC1516" s="111"/>
      <c r="AD1516" s="111"/>
      <c r="AE1516" s="111"/>
      <c r="AF1516" s="111"/>
      <c r="AG1516" s="111"/>
      <c r="AH1516" s="111"/>
      <c r="AI1516" s="111"/>
    </row>
    <row r="1517" spans="1:35" ht="18.75">
      <c r="A1517" s="111"/>
      <c r="B1517" s="139"/>
      <c r="C1517" s="111"/>
      <c r="D1517" s="111"/>
      <c r="E1517" s="111"/>
      <c r="F1517" s="111"/>
      <c r="G1517" s="111"/>
      <c r="H1517" s="111"/>
      <c r="I1517" s="111"/>
      <c r="J1517" s="111"/>
      <c r="K1517" s="111"/>
      <c r="L1517" s="111"/>
      <c r="M1517" s="111"/>
      <c r="N1517" s="111"/>
      <c r="O1517" s="111"/>
      <c r="P1517" s="111"/>
      <c r="Q1517" s="111"/>
      <c r="R1517" s="111"/>
      <c r="S1517" s="111"/>
      <c r="T1517" s="111"/>
      <c r="U1517" s="111"/>
      <c r="V1517" s="111"/>
      <c r="W1517" s="111"/>
      <c r="X1517" s="111"/>
      <c r="Y1517" s="111"/>
      <c r="Z1517" s="111"/>
      <c r="AA1517" s="111"/>
      <c r="AB1517" s="111"/>
      <c r="AC1517" s="111"/>
      <c r="AD1517" s="111"/>
      <c r="AE1517" s="111"/>
      <c r="AF1517" s="111"/>
      <c r="AG1517" s="111"/>
      <c r="AH1517" s="111"/>
      <c r="AI1517" s="111"/>
    </row>
    <row r="1518" spans="1:35" ht="18.75">
      <c r="A1518" s="111"/>
      <c r="B1518" s="139"/>
      <c r="C1518" s="111"/>
      <c r="D1518" s="111"/>
      <c r="E1518" s="111"/>
      <c r="F1518" s="111"/>
      <c r="G1518" s="111"/>
      <c r="H1518" s="111"/>
      <c r="I1518" s="111"/>
      <c r="J1518" s="111"/>
      <c r="K1518" s="111"/>
      <c r="L1518" s="111"/>
      <c r="M1518" s="111"/>
      <c r="N1518" s="111"/>
      <c r="O1518" s="111"/>
      <c r="P1518" s="111"/>
      <c r="Q1518" s="111"/>
      <c r="R1518" s="111"/>
      <c r="S1518" s="111"/>
      <c r="T1518" s="111"/>
      <c r="U1518" s="111"/>
      <c r="V1518" s="111"/>
      <c r="W1518" s="111"/>
      <c r="X1518" s="111"/>
      <c r="Y1518" s="111"/>
      <c r="Z1518" s="111"/>
      <c r="AA1518" s="111"/>
      <c r="AB1518" s="111"/>
      <c r="AC1518" s="111"/>
      <c r="AD1518" s="111"/>
      <c r="AE1518" s="111"/>
      <c r="AF1518" s="111"/>
      <c r="AG1518" s="111"/>
      <c r="AH1518" s="111"/>
      <c r="AI1518" s="111"/>
    </row>
    <row r="1519" spans="1:35" ht="18.75">
      <c r="A1519" s="111"/>
      <c r="B1519" s="139"/>
      <c r="C1519" s="111"/>
      <c r="D1519" s="111"/>
      <c r="E1519" s="111"/>
      <c r="F1519" s="111"/>
      <c r="G1519" s="111"/>
      <c r="H1519" s="111"/>
      <c r="I1519" s="111"/>
      <c r="J1519" s="111"/>
      <c r="K1519" s="111"/>
      <c r="L1519" s="111"/>
      <c r="M1519" s="111"/>
      <c r="N1519" s="111"/>
      <c r="O1519" s="111"/>
      <c r="P1519" s="111"/>
      <c r="Q1519" s="111"/>
      <c r="R1519" s="111"/>
      <c r="S1519" s="111"/>
      <c r="T1519" s="111"/>
      <c r="U1519" s="111"/>
      <c r="V1519" s="111"/>
      <c r="W1519" s="111"/>
      <c r="X1519" s="111"/>
      <c r="Y1519" s="111"/>
      <c r="Z1519" s="111"/>
      <c r="AA1519" s="111"/>
      <c r="AB1519" s="111"/>
      <c r="AC1519" s="111"/>
      <c r="AD1519" s="111"/>
      <c r="AE1519" s="111"/>
      <c r="AF1519" s="111"/>
      <c r="AG1519" s="111"/>
      <c r="AH1519" s="111"/>
      <c r="AI1519" s="111"/>
    </row>
    <row r="1520" spans="1:35" ht="18.75">
      <c r="A1520" s="111"/>
      <c r="B1520" s="139"/>
      <c r="C1520" s="111"/>
      <c r="D1520" s="111"/>
      <c r="E1520" s="111"/>
      <c r="F1520" s="111"/>
      <c r="G1520" s="111"/>
      <c r="H1520" s="111"/>
      <c r="I1520" s="111"/>
      <c r="J1520" s="111"/>
      <c r="K1520" s="111"/>
      <c r="L1520" s="111"/>
      <c r="M1520" s="111"/>
      <c r="N1520" s="111"/>
      <c r="O1520" s="111"/>
      <c r="P1520" s="111"/>
      <c r="Q1520" s="111"/>
      <c r="R1520" s="111"/>
      <c r="S1520" s="111"/>
      <c r="T1520" s="111"/>
      <c r="U1520" s="111"/>
      <c r="V1520" s="111"/>
      <c r="W1520" s="111"/>
      <c r="X1520" s="111"/>
      <c r="Y1520" s="111"/>
      <c r="Z1520" s="111"/>
      <c r="AA1520" s="111"/>
      <c r="AB1520" s="111"/>
      <c r="AC1520" s="111"/>
      <c r="AD1520" s="111"/>
      <c r="AE1520" s="111"/>
      <c r="AF1520" s="111"/>
      <c r="AG1520" s="111"/>
      <c r="AH1520" s="111"/>
      <c r="AI1520" s="111"/>
    </row>
    <row r="1521" spans="1:35" ht="18.75">
      <c r="A1521" s="111"/>
      <c r="B1521" s="139"/>
      <c r="C1521" s="111"/>
      <c r="D1521" s="111"/>
      <c r="E1521" s="111"/>
      <c r="F1521" s="111"/>
      <c r="G1521" s="111"/>
      <c r="H1521" s="111"/>
      <c r="I1521" s="111"/>
      <c r="J1521" s="111"/>
      <c r="K1521" s="111"/>
      <c r="L1521" s="111"/>
      <c r="M1521" s="111"/>
      <c r="N1521" s="111"/>
      <c r="O1521" s="111"/>
      <c r="P1521" s="111"/>
      <c r="Q1521" s="111"/>
      <c r="R1521" s="111"/>
      <c r="S1521" s="111"/>
      <c r="T1521" s="111"/>
      <c r="U1521" s="111"/>
      <c r="V1521" s="111"/>
      <c r="W1521" s="111"/>
      <c r="X1521" s="111"/>
      <c r="Y1521" s="111"/>
      <c r="Z1521" s="111"/>
      <c r="AA1521" s="111"/>
      <c r="AB1521" s="111"/>
      <c r="AC1521" s="111"/>
      <c r="AD1521" s="111"/>
      <c r="AE1521" s="111"/>
      <c r="AF1521" s="111"/>
      <c r="AG1521" s="111"/>
      <c r="AH1521" s="111"/>
      <c r="AI1521" s="111"/>
    </row>
    <row r="1522" spans="1:35" ht="18.75">
      <c r="A1522" s="111"/>
      <c r="B1522" s="139"/>
      <c r="C1522" s="111"/>
      <c r="D1522" s="111"/>
      <c r="E1522" s="111"/>
      <c r="F1522" s="111"/>
      <c r="G1522" s="111"/>
      <c r="H1522" s="111"/>
      <c r="I1522" s="111"/>
      <c r="J1522" s="111"/>
      <c r="K1522" s="111"/>
      <c r="L1522" s="111"/>
      <c r="M1522" s="111"/>
      <c r="N1522" s="111"/>
      <c r="O1522" s="111"/>
      <c r="P1522" s="111"/>
      <c r="Q1522" s="111"/>
      <c r="R1522" s="111"/>
      <c r="S1522" s="111"/>
      <c r="T1522" s="111"/>
      <c r="U1522" s="111"/>
      <c r="V1522" s="111"/>
      <c r="W1522" s="111"/>
      <c r="X1522" s="111"/>
      <c r="Y1522" s="111"/>
      <c r="Z1522" s="111"/>
      <c r="AA1522" s="111"/>
      <c r="AB1522" s="111"/>
      <c r="AC1522" s="111"/>
      <c r="AD1522" s="111"/>
      <c r="AE1522" s="111"/>
      <c r="AF1522" s="111"/>
      <c r="AG1522" s="111"/>
      <c r="AH1522" s="111"/>
      <c r="AI1522" s="111"/>
    </row>
    <row r="1523" spans="1:35" ht="18.75">
      <c r="A1523" s="111"/>
      <c r="B1523" s="139"/>
      <c r="C1523" s="111"/>
      <c r="D1523" s="111"/>
      <c r="E1523" s="111"/>
      <c r="F1523" s="111"/>
      <c r="G1523" s="111"/>
      <c r="H1523" s="111"/>
      <c r="I1523" s="111"/>
      <c r="J1523" s="111"/>
      <c r="K1523" s="111"/>
      <c r="L1523" s="111"/>
      <c r="M1523" s="111"/>
      <c r="N1523" s="111"/>
      <c r="O1523" s="111"/>
      <c r="P1523" s="111"/>
      <c r="Q1523" s="111"/>
      <c r="R1523" s="111"/>
      <c r="S1523" s="111"/>
      <c r="T1523" s="111"/>
      <c r="U1523" s="111"/>
      <c r="V1523" s="111"/>
      <c r="W1523" s="111"/>
      <c r="X1523" s="111"/>
      <c r="Y1523" s="111"/>
      <c r="Z1523" s="111"/>
      <c r="AA1523" s="111"/>
      <c r="AB1523" s="111"/>
      <c r="AC1523" s="111"/>
      <c r="AD1523" s="111"/>
      <c r="AE1523" s="111"/>
      <c r="AF1523" s="111"/>
      <c r="AG1523" s="111"/>
      <c r="AH1523" s="111"/>
      <c r="AI1523" s="111"/>
    </row>
    <row r="1524" spans="1:35" ht="18.75">
      <c r="A1524" s="111"/>
      <c r="B1524" s="139"/>
      <c r="C1524" s="111"/>
      <c r="D1524" s="111"/>
      <c r="E1524" s="111"/>
      <c r="F1524" s="111"/>
      <c r="G1524" s="111"/>
      <c r="H1524" s="111"/>
      <c r="I1524" s="111"/>
      <c r="J1524" s="111"/>
      <c r="K1524" s="111"/>
      <c r="L1524" s="111"/>
      <c r="M1524" s="111"/>
      <c r="N1524" s="111"/>
      <c r="O1524" s="111"/>
      <c r="P1524" s="111"/>
      <c r="Q1524" s="111"/>
      <c r="R1524" s="111"/>
      <c r="S1524" s="111"/>
      <c r="T1524" s="111"/>
      <c r="U1524" s="111"/>
      <c r="V1524" s="111"/>
      <c r="W1524" s="111"/>
      <c r="X1524" s="111"/>
      <c r="Y1524" s="111"/>
      <c r="Z1524" s="111"/>
      <c r="AA1524" s="111"/>
      <c r="AB1524" s="111"/>
      <c r="AC1524" s="111"/>
      <c r="AD1524" s="111"/>
      <c r="AE1524" s="111"/>
      <c r="AF1524" s="111"/>
      <c r="AG1524" s="111"/>
      <c r="AH1524" s="111"/>
      <c r="AI1524" s="111"/>
    </row>
    <row r="1525" spans="1:35" ht="18.75">
      <c r="A1525" s="111"/>
      <c r="B1525" s="139"/>
      <c r="C1525" s="111"/>
      <c r="D1525" s="111"/>
      <c r="E1525" s="111"/>
      <c r="F1525" s="111"/>
      <c r="G1525" s="111"/>
      <c r="H1525" s="111"/>
      <c r="I1525" s="111"/>
      <c r="J1525" s="111"/>
      <c r="K1525" s="111"/>
      <c r="L1525" s="111"/>
      <c r="M1525" s="111"/>
      <c r="N1525" s="111"/>
      <c r="O1525" s="111"/>
      <c r="P1525" s="111"/>
      <c r="Q1525" s="111"/>
      <c r="R1525" s="111"/>
      <c r="S1525" s="111"/>
      <c r="T1525" s="111"/>
      <c r="U1525" s="111"/>
      <c r="V1525" s="111"/>
      <c r="W1525" s="111"/>
      <c r="X1525" s="111"/>
      <c r="Y1525" s="111"/>
      <c r="Z1525" s="111"/>
      <c r="AA1525" s="111"/>
      <c r="AB1525" s="111"/>
      <c r="AC1525" s="111"/>
      <c r="AD1525" s="111"/>
      <c r="AE1525" s="111"/>
      <c r="AF1525" s="111"/>
      <c r="AG1525" s="111"/>
      <c r="AH1525" s="111"/>
      <c r="AI1525" s="111"/>
    </row>
    <row r="1526" spans="1:35" ht="18.75">
      <c r="A1526" s="111"/>
      <c r="B1526" s="139"/>
      <c r="C1526" s="111"/>
      <c r="D1526" s="111"/>
      <c r="E1526" s="111"/>
      <c r="F1526" s="111"/>
      <c r="G1526" s="111"/>
      <c r="H1526" s="111"/>
      <c r="I1526" s="111"/>
      <c r="J1526" s="111"/>
      <c r="K1526" s="111"/>
      <c r="L1526" s="111"/>
      <c r="M1526" s="111"/>
      <c r="N1526" s="111"/>
      <c r="O1526" s="111"/>
      <c r="P1526" s="111"/>
      <c r="Q1526" s="111"/>
      <c r="R1526" s="111"/>
      <c r="S1526" s="111"/>
      <c r="T1526" s="111"/>
      <c r="U1526" s="111"/>
      <c r="V1526" s="111"/>
      <c r="W1526" s="111"/>
      <c r="X1526" s="111"/>
      <c r="Y1526" s="111"/>
      <c r="Z1526" s="111"/>
      <c r="AA1526" s="111"/>
      <c r="AB1526" s="111"/>
      <c r="AC1526" s="111"/>
      <c r="AD1526" s="111"/>
      <c r="AE1526" s="111"/>
      <c r="AF1526" s="111"/>
      <c r="AG1526" s="111"/>
      <c r="AH1526" s="111"/>
      <c r="AI1526" s="111"/>
    </row>
    <row r="1527" spans="1:35" ht="18.75">
      <c r="A1527" s="111"/>
      <c r="B1527" s="139"/>
      <c r="C1527" s="111"/>
      <c r="D1527" s="111"/>
      <c r="E1527" s="111"/>
      <c r="F1527" s="111"/>
      <c r="G1527" s="111"/>
      <c r="H1527" s="111"/>
      <c r="I1527" s="111"/>
      <c r="J1527" s="111"/>
      <c r="K1527" s="111"/>
      <c r="L1527" s="111"/>
      <c r="M1527" s="111"/>
      <c r="N1527" s="111"/>
      <c r="O1527" s="111"/>
      <c r="P1527" s="111"/>
      <c r="Q1527" s="111"/>
      <c r="R1527" s="111"/>
      <c r="S1527" s="111"/>
      <c r="T1527" s="111"/>
      <c r="U1527" s="111"/>
      <c r="V1527" s="111"/>
      <c r="W1527" s="111"/>
      <c r="X1527" s="111"/>
      <c r="Y1527" s="111"/>
      <c r="Z1527" s="111"/>
      <c r="AA1527" s="111"/>
      <c r="AB1527" s="111"/>
      <c r="AC1527" s="111"/>
      <c r="AD1527" s="111"/>
      <c r="AE1527" s="111"/>
      <c r="AF1527" s="111"/>
      <c r="AG1527" s="111"/>
      <c r="AH1527" s="111"/>
      <c r="AI1527" s="111"/>
    </row>
    <row r="1528" spans="1:35" ht="18.75">
      <c r="A1528" s="111"/>
      <c r="B1528" s="139"/>
      <c r="C1528" s="111"/>
      <c r="D1528" s="111"/>
      <c r="E1528" s="111"/>
      <c r="F1528" s="111"/>
      <c r="G1528" s="111"/>
      <c r="H1528" s="111"/>
      <c r="I1528" s="111"/>
      <c r="J1528" s="111"/>
      <c r="K1528" s="111"/>
      <c r="L1528" s="111"/>
      <c r="M1528" s="111"/>
      <c r="N1528" s="111"/>
      <c r="O1528" s="111"/>
      <c r="P1528" s="111"/>
      <c r="Q1528" s="111"/>
      <c r="R1528" s="111"/>
      <c r="S1528" s="111"/>
      <c r="T1528" s="111"/>
      <c r="U1528" s="111"/>
      <c r="V1528" s="111"/>
      <c r="W1528" s="111"/>
      <c r="X1528" s="111"/>
      <c r="Y1528" s="111"/>
      <c r="Z1528" s="111"/>
      <c r="AA1528" s="111"/>
      <c r="AB1528" s="111"/>
      <c r="AC1528" s="111"/>
      <c r="AD1528" s="111"/>
      <c r="AE1528" s="111"/>
      <c r="AF1528" s="111"/>
      <c r="AG1528" s="111"/>
      <c r="AH1528" s="111"/>
      <c r="AI1528" s="111"/>
    </row>
    <row r="1529" spans="1:35" ht="18.75">
      <c r="A1529" s="111"/>
      <c r="B1529" s="139"/>
      <c r="C1529" s="111"/>
      <c r="D1529" s="111"/>
      <c r="E1529" s="111"/>
      <c r="F1529" s="111"/>
      <c r="G1529" s="111"/>
      <c r="H1529" s="111"/>
      <c r="I1529" s="111"/>
      <c r="J1529" s="111"/>
      <c r="K1529" s="111"/>
      <c r="L1529" s="111"/>
      <c r="M1529" s="111"/>
      <c r="N1529" s="111"/>
      <c r="O1529" s="111"/>
      <c r="P1529" s="111"/>
      <c r="Q1529" s="111"/>
      <c r="R1529" s="111"/>
      <c r="S1529" s="111"/>
      <c r="T1529" s="111"/>
      <c r="U1529" s="111"/>
      <c r="V1529" s="111"/>
      <c r="W1529" s="111"/>
      <c r="X1529" s="111"/>
      <c r="Y1529" s="111"/>
      <c r="Z1529" s="111"/>
      <c r="AA1529" s="111"/>
      <c r="AB1529" s="111"/>
      <c r="AC1529" s="111"/>
      <c r="AD1529" s="111"/>
      <c r="AE1529" s="111"/>
      <c r="AF1529" s="111"/>
      <c r="AG1529" s="111"/>
      <c r="AH1529" s="111"/>
      <c r="AI1529" s="111"/>
    </row>
    <row r="1530" spans="1:35" ht="18.75">
      <c r="A1530" s="111"/>
      <c r="B1530" s="139"/>
      <c r="C1530" s="111"/>
      <c r="D1530" s="111"/>
      <c r="E1530" s="111"/>
      <c r="F1530" s="111"/>
      <c r="G1530" s="111"/>
      <c r="H1530" s="111"/>
      <c r="I1530" s="111"/>
      <c r="J1530" s="111"/>
      <c r="K1530" s="111"/>
      <c r="L1530" s="111"/>
      <c r="M1530" s="111"/>
      <c r="N1530" s="111"/>
      <c r="O1530" s="111"/>
      <c r="P1530" s="111"/>
      <c r="Q1530" s="111"/>
      <c r="R1530" s="111"/>
      <c r="S1530" s="111"/>
      <c r="T1530" s="111"/>
      <c r="U1530" s="111"/>
      <c r="V1530" s="111"/>
      <c r="W1530" s="111"/>
      <c r="X1530" s="111"/>
      <c r="Y1530" s="111"/>
      <c r="Z1530" s="111"/>
      <c r="AA1530" s="111"/>
      <c r="AB1530" s="111"/>
      <c r="AC1530" s="111"/>
      <c r="AD1530" s="111"/>
      <c r="AE1530" s="111"/>
      <c r="AF1530" s="111"/>
      <c r="AG1530" s="111"/>
      <c r="AH1530" s="111"/>
      <c r="AI1530" s="111"/>
    </row>
    <row r="1531" spans="1:35" ht="18.75">
      <c r="A1531" s="111"/>
      <c r="B1531" s="139"/>
      <c r="C1531" s="111"/>
      <c r="D1531" s="111"/>
      <c r="E1531" s="111"/>
      <c r="F1531" s="111"/>
      <c r="G1531" s="111"/>
      <c r="H1531" s="111"/>
      <c r="I1531" s="111"/>
      <c r="J1531" s="111"/>
      <c r="K1531" s="111"/>
      <c r="L1531" s="111"/>
      <c r="M1531" s="111"/>
      <c r="N1531" s="111"/>
      <c r="O1531" s="111"/>
      <c r="P1531" s="111"/>
      <c r="Q1531" s="111"/>
      <c r="R1531" s="111"/>
      <c r="S1531" s="111"/>
      <c r="T1531" s="111"/>
      <c r="U1531" s="111"/>
      <c r="V1531" s="111"/>
      <c r="W1531" s="111"/>
      <c r="X1531" s="111"/>
      <c r="Y1531" s="111"/>
      <c r="Z1531" s="111"/>
      <c r="AA1531" s="111"/>
      <c r="AB1531" s="111"/>
      <c r="AC1531" s="111"/>
      <c r="AD1531" s="111"/>
      <c r="AE1531" s="111"/>
      <c r="AF1531" s="111"/>
      <c r="AG1531" s="111"/>
      <c r="AH1531" s="111"/>
      <c r="AI1531" s="111"/>
    </row>
    <row r="1532" spans="1:35" ht="18.75">
      <c r="A1532" s="111"/>
      <c r="B1532" s="139"/>
      <c r="C1532" s="111"/>
      <c r="D1532" s="111"/>
      <c r="E1532" s="111"/>
      <c r="F1532" s="111"/>
      <c r="G1532" s="111"/>
      <c r="H1532" s="111"/>
      <c r="I1532" s="111"/>
      <c r="J1532" s="111"/>
      <c r="K1532" s="111"/>
      <c r="L1532" s="111"/>
      <c r="M1532" s="111"/>
      <c r="N1532" s="111"/>
      <c r="O1532" s="111"/>
      <c r="P1532" s="111"/>
      <c r="Q1532" s="111"/>
      <c r="R1532" s="111"/>
      <c r="S1532" s="111"/>
      <c r="T1532" s="111"/>
      <c r="U1532" s="111"/>
      <c r="V1532" s="111"/>
      <c r="W1532" s="111"/>
      <c r="X1532" s="111"/>
      <c r="Y1532" s="111"/>
      <c r="Z1532" s="111"/>
      <c r="AA1532" s="111"/>
      <c r="AB1532" s="111"/>
      <c r="AC1532" s="111"/>
      <c r="AD1532" s="111"/>
      <c r="AE1532" s="111"/>
      <c r="AF1532" s="111"/>
      <c r="AG1532" s="111"/>
      <c r="AH1532" s="111"/>
      <c r="AI1532" s="111"/>
    </row>
    <row r="1533" spans="1:35" ht="18.75">
      <c r="A1533" s="111"/>
      <c r="B1533" s="139"/>
      <c r="C1533" s="111"/>
      <c r="D1533" s="111"/>
      <c r="E1533" s="111"/>
      <c r="F1533" s="111"/>
      <c r="G1533" s="111"/>
      <c r="H1533" s="111"/>
      <c r="I1533" s="111"/>
      <c r="J1533" s="111"/>
      <c r="K1533" s="111"/>
      <c r="L1533" s="111"/>
      <c r="M1533" s="111"/>
      <c r="N1533" s="111"/>
      <c r="O1533" s="111"/>
      <c r="P1533" s="111"/>
      <c r="Q1533" s="111"/>
      <c r="R1533" s="111"/>
      <c r="S1533" s="111"/>
      <c r="T1533" s="111"/>
      <c r="U1533" s="111"/>
      <c r="V1533" s="111"/>
      <c r="W1533" s="111"/>
      <c r="X1533" s="111"/>
      <c r="Y1533" s="111"/>
      <c r="Z1533" s="111"/>
      <c r="AA1533" s="111"/>
      <c r="AB1533" s="111"/>
      <c r="AC1533" s="111"/>
      <c r="AD1533" s="111"/>
      <c r="AE1533" s="111"/>
      <c r="AF1533" s="111"/>
      <c r="AG1533" s="111"/>
      <c r="AH1533" s="111"/>
      <c r="AI1533" s="111"/>
    </row>
    <row r="1534" spans="1:35" ht="18.75">
      <c r="A1534" s="111"/>
      <c r="B1534" s="139"/>
      <c r="C1534" s="111"/>
      <c r="D1534" s="111"/>
      <c r="E1534" s="111"/>
      <c r="F1534" s="111"/>
      <c r="G1534" s="111"/>
      <c r="H1534" s="111"/>
      <c r="I1534" s="111"/>
      <c r="J1534" s="111"/>
      <c r="K1534" s="111"/>
      <c r="L1534" s="111"/>
      <c r="M1534" s="111"/>
      <c r="N1534" s="111"/>
      <c r="O1534" s="111"/>
      <c r="P1534" s="111"/>
      <c r="Q1534" s="111"/>
      <c r="R1534" s="111"/>
      <c r="S1534" s="111"/>
      <c r="T1534" s="111"/>
      <c r="U1534" s="111"/>
      <c r="V1534" s="111"/>
      <c r="W1534" s="111"/>
      <c r="X1534" s="111"/>
      <c r="Y1534" s="111"/>
      <c r="Z1534" s="111"/>
      <c r="AA1534" s="111"/>
      <c r="AB1534" s="111"/>
      <c r="AC1534" s="111"/>
      <c r="AD1534" s="111"/>
      <c r="AE1534" s="111"/>
      <c r="AF1534" s="111"/>
      <c r="AG1534" s="111"/>
      <c r="AH1534" s="111"/>
      <c r="AI1534" s="111"/>
    </row>
    <row r="1535" spans="1:35" ht="18.75">
      <c r="A1535" s="111"/>
      <c r="B1535" s="139"/>
      <c r="C1535" s="111"/>
      <c r="D1535" s="111"/>
      <c r="E1535" s="111"/>
      <c r="F1535" s="111"/>
      <c r="G1535" s="111"/>
      <c r="H1535" s="111"/>
      <c r="I1535" s="111"/>
      <c r="J1535" s="111"/>
      <c r="K1535" s="111"/>
      <c r="L1535" s="111"/>
      <c r="M1535" s="111"/>
      <c r="N1535" s="111"/>
      <c r="O1535" s="111"/>
      <c r="P1535" s="111"/>
      <c r="Q1535" s="111"/>
      <c r="R1535" s="111"/>
      <c r="S1535" s="111"/>
      <c r="T1535" s="111"/>
      <c r="U1535" s="111"/>
      <c r="V1535" s="111"/>
      <c r="W1535" s="111"/>
      <c r="X1535" s="111"/>
      <c r="Y1535" s="111"/>
      <c r="Z1535" s="111"/>
      <c r="AA1535" s="111"/>
      <c r="AB1535" s="111"/>
      <c r="AC1535" s="111"/>
      <c r="AD1535" s="111"/>
      <c r="AE1535" s="111"/>
      <c r="AF1535" s="111"/>
      <c r="AG1535" s="111"/>
      <c r="AH1535" s="111"/>
      <c r="AI1535" s="111"/>
    </row>
    <row r="1536" spans="1:35" ht="18.75">
      <c r="A1536" s="111"/>
      <c r="B1536" s="139"/>
      <c r="C1536" s="111"/>
      <c r="D1536" s="111"/>
      <c r="E1536" s="111"/>
      <c r="F1536" s="111"/>
      <c r="G1536" s="111"/>
      <c r="H1536" s="111"/>
      <c r="I1536" s="111"/>
      <c r="J1536" s="111"/>
      <c r="K1536" s="111"/>
      <c r="L1536" s="111"/>
      <c r="M1536" s="111"/>
      <c r="N1536" s="111"/>
      <c r="O1536" s="111"/>
      <c r="P1536" s="111"/>
      <c r="Q1536" s="111"/>
      <c r="R1536" s="111"/>
      <c r="S1536" s="111"/>
      <c r="T1536" s="111"/>
      <c r="U1536" s="111"/>
      <c r="V1536" s="111"/>
      <c r="W1536" s="111"/>
      <c r="X1536" s="111"/>
      <c r="Y1536" s="111"/>
      <c r="Z1536" s="111"/>
      <c r="AA1536" s="111"/>
      <c r="AB1536" s="111"/>
      <c r="AC1536" s="111"/>
      <c r="AD1536" s="111"/>
      <c r="AE1536" s="111"/>
      <c r="AF1536" s="111"/>
      <c r="AG1536" s="111"/>
      <c r="AH1536" s="111"/>
      <c r="AI1536" s="111"/>
    </row>
    <row r="1537" spans="1:35" ht="18.75">
      <c r="A1537" s="111"/>
      <c r="B1537" s="139"/>
      <c r="C1537" s="111"/>
      <c r="D1537" s="111"/>
      <c r="E1537" s="111"/>
      <c r="F1537" s="111"/>
      <c r="G1537" s="111"/>
      <c r="H1537" s="111"/>
      <c r="I1537" s="111"/>
      <c r="J1537" s="111"/>
      <c r="K1537" s="111"/>
      <c r="L1537" s="111"/>
      <c r="M1537" s="111"/>
      <c r="N1537" s="111"/>
      <c r="O1537" s="111"/>
      <c r="P1537" s="111"/>
      <c r="Q1537" s="111"/>
      <c r="R1537" s="111"/>
      <c r="S1537" s="111"/>
      <c r="T1537" s="111"/>
      <c r="U1537" s="111"/>
      <c r="V1537" s="111"/>
      <c r="W1537" s="111"/>
      <c r="X1537" s="111"/>
      <c r="Y1537" s="111"/>
      <c r="Z1537" s="111"/>
      <c r="AA1537" s="111"/>
      <c r="AB1537" s="111"/>
      <c r="AC1537" s="111"/>
      <c r="AD1537" s="111"/>
      <c r="AE1537" s="111"/>
      <c r="AF1537" s="111"/>
      <c r="AG1537" s="111"/>
      <c r="AH1537" s="111"/>
      <c r="AI1537" s="111"/>
    </row>
    <row r="1538" spans="1:35" ht="18.75">
      <c r="A1538" s="111"/>
      <c r="B1538" s="139"/>
      <c r="C1538" s="111"/>
      <c r="D1538" s="111"/>
      <c r="E1538" s="111"/>
      <c r="F1538" s="111"/>
      <c r="G1538" s="111"/>
      <c r="H1538" s="111"/>
      <c r="I1538" s="111"/>
      <c r="J1538" s="111"/>
      <c r="K1538" s="111"/>
      <c r="L1538" s="111"/>
      <c r="M1538" s="111"/>
      <c r="N1538" s="111"/>
      <c r="O1538" s="111"/>
      <c r="P1538" s="111"/>
      <c r="Q1538" s="111"/>
      <c r="R1538" s="111"/>
      <c r="S1538" s="111"/>
      <c r="T1538" s="111"/>
      <c r="U1538" s="111"/>
      <c r="V1538" s="111"/>
      <c r="W1538" s="111"/>
      <c r="X1538" s="111"/>
      <c r="Y1538" s="111"/>
      <c r="Z1538" s="111"/>
      <c r="AA1538" s="111"/>
      <c r="AB1538" s="111"/>
      <c r="AC1538" s="111"/>
      <c r="AD1538" s="111"/>
      <c r="AE1538" s="111"/>
      <c r="AF1538" s="111"/>
      <c r="AG1538" s="111"/>
      <c r="AH1538" s="111"/>
      <c r="AI1538" s="111"/>
    </row>
    <row r="1539" spans="1:35" ht="18.75">
      <c r="A1539" s="111"/>
      <c r="B1539" s="139"/>
      <c r="C1539" s="111"/>
      <c r="D1539" s="111"/>
      <c r="E1539" s="111"/>
      <c r="F1539" s="111"/>
      <c r="G1539" s="111"/>
      <c r="H1539" s="111"/>
      <c r="I1539" s="111"/>
      <c r="J1539" s="111"/>
      <c r="K1539" s="111"/>
      <c r="L1539" s="111"/>
      <c r="M1539" s="111"/>
      <c r="N1539" s="111"/>
      <c r="O1539" s="111"/>
      <c r="P1539" s="111"/>
      <c r="Q1539" s="111"/>
      <c r="R1539" s="111"/>
      <c r="S1539" s="111"/>
      <c r="T1539" s="111"/>
      <c r="U1539" s="111"/>
      <c r="V1539" s="111"/>
      <c r="W1539" s="111"/>
      <c r="X1539" s="111"/>
      <c r="Y1539" s="111"/>
      <c r="Z1539" s="111"/>
      <c r="AA1539" s="111"/>
      <c r="AB1539" s="111"/>
      <c r="AC1539" s="111"/>
      <c r="AD1539" s="111"/>
      <c r="AE1539" s="111"/>
      <c r="AF1539" s="111"/>
      <c r="AG1539" s="111"/>
      <c r="AH1539" s="111"/>
      <c r="AI1539" s="111"/>
    </row>
    <row r="1540" spans="1:35" ht="18.75">
      <c r="A1540" s="111"/>
      <c r="B1540" s="139"/>
      <c r="C1540" s="111"/>
      <c r="D1540" s="111"/>
      <c r="E1540" s="111"/>
      <c r="F1540" s="111"/>
      <c r="G1540" s="111"/>
      <c r="H1540" s="111"/>
      <c r="I1540" s="111"/>
      <c r="J1540" s="111"/>
      <c r="K1540" s="111"/>
      <c r="L1540" s="111"/>
      <c r="M1540" s="111"/>
      <c r="N1540" s="111"/>
      <c r="O1540" s="111"/>
      <c r="P1540" s="111"/>
      <c r="Q1540" s="111"/>
      <c r="R1540" s="111"/>
      <c r="S1540" s="111"/>
      <c r="T1540" s="111"/>
      <c r="U1540" s="111"/>
      <c r="V1540" s="111"/>
      <c r="W1540" s="111"/>
      <c r="X1540" s="111"/>
      <c r="Y1540" s="111"/>
      <c r="Z1540" s="111"/>
      <c r="AA1540" s="111"/>
      <c r="AB1540" s="111"/>
      <c r="AC1540" s="111"/>
      <c r="AD1540" s="111"/>
      <c r="AE1540" s="111"/>
      <c r="AF1540" s="111"/>
      <c r="AG1540" s="111"/>
      <c r="AH1540" s="111"/>
      <c r="AI1540" s="111"/>
    </row>
    <row r="1541" spans="1:35" ht="18.75">
      <c r="A1541" s="111"/>
      <c r="B1541" s="139"/>
      <c r="C1541" s="111"/>
      <c r="D1541" s="111"/>
      <c r="E1541" s="111"/>
      <c r="F1541" s="111"/>
      <c r="G1541" s="111"/>
      <c r="H1541" s="111"/>
      <c r="I1541" s="111"/>
      <c r="J1541" s="111"/>
      <c r="K1541" s="111"/>
      <c r="L1541" s="111"/>
      <c r="M1541" s="111"/>
      <c r="N1541" s="111"/>
      <c r="O1541" s="111"/>
      <c r="P1541" s="111"/>
      <c r="Q1541" s="111"/>
      <c r="R1541" s="111"/>
      <c r="S1541" s="111"/>
      <c r="T1541" s="111"/>
      <c r="U1541" s="111"/>
      <c r="V1541" s="111"/>
      <c r="W1541" s="111"/>
      <c r="X1541" s="111"/>
      <c r="Y1541" s="111"/>
      <c r="Z1541" s="111"/>
      <c r="AA1541" s="111"/>
      <c r="AB1541" s="111"/>
      <c r="AC1541" s="111"/>
      <c r="AD1541" s="111"/>
      <c r="AE1541" s="111"/>
      <c r="AF1541" s="111"/>
      <c r="AG1541" s="111"/>
      <c r="AH1541" s="111"/>
    </row>
    <row r="1542" spans="1:35" ht="18.75">
      <c r="A1542" s="111"/>
      <c r="B1542" s="139"/>
      <c r="C1542" s="111"/>
      <c r="D1542" s="111"/>
      <c r="E1542" s="111"/>
      <c r="F1542" s="111"/>
      <c r="G1542" s="111"/>
      <c r="H1542" s="111"/>
      <c r="I1542" s="111"/>
      <c r="J1542" s="111"/>
      <c r="K1542" s="111"/>
      <c r="L1542" s="111"/>
      <c r="M1542" s="111"/>
      <c r="N1542" s="111"/>
      <c r="O1542" s="111"/>
      <c r="P1542" s="111"/>
      <c r="Q1542" s="111"/>
      <c r="R1542" s="111"/>
      <c r="S1542" s="111"/>
      <c r="T1542" s="111"/>
      <c r="U1542" s="111"/>
      <c r="V1542" s="111"/>
      <c r="W1542" s="111"/>
      <c r="X1542" s="111"/>
      <c r="Y1542" s="111"/>
      <c r="Z1542" s="111"/>
      <c r="AA1542" s="111"/>
      <c r="AB1542" s="111"/>
      <c r="AC1542" s="111"/>
      <c r="AD1542" s="111"/>
      <c r="AE1542" s="111"/>
      <c r="AF1542" s="111"/>
      <c r="AG1542" s="111"/>
      <c r="AH1542" s="111"/>
    </row>
    <row r="1543" spans="1:35" ht="18.75">
      <c r="A1543" s="111"/>
    </row>
    <row r="1544" spans="1:35" ht="18.75">
      <c r="A1544" s="111"/>
    </row>
    <row r="1545" spans="1:35" ht="18.75">
      <c r="A1545" s="111"/>
    </row>
    <row r="1546" spans="1:35" ht="18.75">
      <c r="A1546" s="111"/>
    </row>
    <row r="1547" spans="1:35" ht="18.75">
      <c r="A1547" s="111"/>
    </row>
    <row r="1548" spans="1:35" ht="18.75">
      <c r="A1548" s="111"/>
    </row>
    <row r="1549" spans="1:35" ht="18.75">
      <c r="A1549" s="111"/>
    </row>
    <row r="1550" spans="1:35" ht="18.75">
      <c r="A1550" s="111"/>
    </row>
    <row r="1551" spans="1:35" ht="18.75"/>
    <row r="1552" spans="1:35" ht="18.75"/>
    <row r="1553" ht="18.75"/>
    <row r="1554" ht="18.75"/>
    <row r="1555" ht="18.75"/>
  </sheetData>
  <mergeCells count="38">
    <mergeCell ref="K91:Q92"/>
    <mergeCell ref="A82:C82"/>
    <mergeCell ref="A83:C83"/>
    <mergeCell ref="A85:C85"/>
    <mergeCell ref="D91:J92"/>
    <mergeCell ref="E89:I89"/>
    <mergeCell ref="E90:I90"/>
    <mergeCell ref="L89:P89"/>
    <mergeCell ref="L90:P90"/>
    <mergeCell ref="AB89:AB90"/>
    <mergeCell ref="AA87:AA88"/>
    <mergeCell ref="A84:C84"/>
    <mergeCell ref="AB87:AE88"/>
    <mergeCell ref="AW1:BC1"/>
    <mergeCell ref="AI2:AI3"/>
    <mergeCell ref="AJ2:AJ3"/>
    <mergeCell ref="AK2:AK3"/>
    <mergeCell ref="AL2:AL3"/>
    <mergeCell ref="AM2:AM3"/>
    <mergeCell ref="BB2:BB3"/>
    <mergeCell ref="BC2:BC3"/>
    <mergeCell ref="AX2:AX3"/>
    <mergeCell ref="AY2:AY3"/>
    <mergeCell ref="AZ2:AZ3"/>
    <mergeCell ref="V1:AE1"/>
    <mergeCell ref="D1:R1"/>
    <mergeCell ref="A4:C4"/>
    <mergeCell ref="BA2:BA3"/>
    <mergeCell ref="AU2:AU3"/>
    <mergeCell ref="AW2:AW3"/>
    <mergeCell ref="AT2:AT3"/>
    <mergeCell ref="AJ1:AM1"/>
    <mergeCell ref="AO1:AU1"/>
    <mergeCell ref="AO2:AO3"/>
    <mergeCell ref="AP2:AP3"/>
    <mergeCell ref="AQ2:AQ3"/>
    <mergeCell ref="AR2:AR3"/>
    <mergeCell ref="AS2:AS3"/>
  </mergeCells>
  <phoneticPr fontId="49" type="noConversion"/>
  <conditionalFormatting sqref="B29">
    <cfRule type="containsText" dxfId="170" priority="373" operator="containsText" text="DO">
      <formula>NOT(ISERROR(SEARCH("DO",B29)))</formula>
    </cfRule>
    <cfRule type="expression" dxfId="169" priority="374">
      <formula>#REF!&lt;&gt;4728</formula>
    </cfRule>
  </conditionalFormatting>
  <conditionalFormatting sqref="D7:D10 D26:AH31 D32:AB32 AD32:AH32 D33:AH36 D43:D44 E55:H55 J55:O55 I47">
    <cfRule type="containsText" dxfId="168" priority="196" operator="containsText" text="DO">
      <formula>NOT(ISERROR(SEARCH("DO",D7)))</formula>
    </cfRule>
  </conditionalFormatting>
  <conditionalFormatting sqref="D16">
    <cfRule type="containsText" dxfId="167" priority="217" operator="containsText" text="DO">
      <formula>NOT(ISERROR(SEARCH("DO",D16)))</formula>
    </cfRule>
  </conditionalFormatting>
  <conditionalFormatting sqref="D53:D56">
    <cfRule type="containsText" dxfId="166" priority="433" operator="containsText" text="DO">
      <formula>NOT(ISERROR(SEARCH("DO",D53)))</formula>
    </cfRule>
  </conditionalFormatting>
  <conditionalFormatting sqref="D58:D64">
    <cfRule type="containsText" dxfId="165" priority="20" operator="containsText" text="DO">
      <formula>NOT(ISERROR(SEARCH("DO",D58)))</formula>
    </cfRule>
  </conditionalFormatting>
  <conditionalFormatting sqref="D67">
    <cfRule type="containsText" dxfId="164" priority="1029" operator="containsText" text="DO">
      <formula>NOT(ISERROR(SEARCH("DO",D67)))</formula>
    </cfRule>
  </conditionalFormatting>
  <conditionalFormatting sqref="D69">
    <cfRule type="containsText" dxfId="163" priority="134" operator="containsText" text="DO">
      <formula>NOT(ISERROR(SEARCH("DO",D69)))</formula>
    </cfRule>
  </conditionalFormatting>
  <conditionalFormatting sqref="D76:D81">
    <cfRule type="containsText" dxfId="162" priority="419" operator="containsText" text="DO">
      <formula>NOT(ISERROR(SEARCH("DO",D76)))</formula>
    </cfRule>
  </conditionalFormatting>
  <conditionalFormatting sqref="D18:E18">
    <cfRule type="containsText" dxfId="161" priority="213" operator="containsText" text="DO">
      <formula>NOT(ISERROR(SEARCH("DO",D18)))</formula>
    </cfRule>
  </conditionalFormatting>
  <conditionalFormatting sqref="D41:G41 I41:AH41 AC42:AH42 AE43:AH44 Y46:AH46">
    <cfRule type="containsText" dxfId="160" priority="769" operator="containsText" text="DO">
      <formula>NOT(ISERROR(SEARCH("DO",D41)))</formula>
    </cfRule>
  </conditionalFormatting>
  <conditionalFormatting sqref="D95:K95">
    <cfRule type="containsText" dxfId="159" priority="765" operator="containsText" text="DO">
      <formula>NOT(ISERROR(SEARCH("DO",D95)))</formula>
    </cfRule>
  </conditionalFormatting>
  <conditionalFormatting sqref="D51:M51">
    <cfRule type="containsText" dxfId="158" priority="122" operator="containsText" text="DO">
      <formula>NOT(ISERROR(SEARCH("DO",D51)))</formula>
    </cfRule>
  </conditionalFormatting>
  <conditionalFormatting sqref="D45:N46">
    <cfRule type="containsText" dxfId="157" priority="126" operator="containsText" text="DO">
      <formula>NOT(ISERROR(SEARCH("DO",D45)))</formula>
    </cfRule>
  </conditionalFormatting>
  <conditionalFormatting sqref="D20:P20">
    <cfRule type="containsText" dxfId="156" priority="138" operator="containsText" text="DO">
      <formula>NOT(ISERROR(SEARCH("DO",D20)))</formula>
    </cfRule>
  </conditionalFormatting>
  <conditionalFormatting sqref="D94:R94">
    <cfRule type="containsText" dxfId="155" priority="763" operator="containsText" text="DO">
      <formula>NOT(ISERROR(SEARCH("DO",D94)))</formula>
    </cfRule>
  </conditionalFormatting>
  <conditionalFormatting sqref="D47:S49">
    <cfRule type="containsText" dxfId="154" priority="89" operator="containsText" text="DO">
      <formula>NOT(ISERROR(SEARCH("DO",D47)))</formula>
    </cfRule>
  </conditionalFormatting>
  <conditionalFormatting sqref="D50:T50">
    <cfRule type="containsText" dxfId="153" priority="296" operator="containsText" text="DO">
      <formula>NOT(ISERROR(SEARCH("DO",D50)))</formula>
    </cfRule>
  </conditionalFormatting>
  <conditionalFormatting sqref="D37:U37">
    <cfRule type="containsText" dxfId="152" priority="414" operator="containsText" text="DO">
      <formula>NOT(ISERROR(SEARCH("DO",D37)))</formula>
    </cfRule>
  </conditionalFormatting>
  <conditionalFormatting sqref="D39:U39">
    <cfRule type="containsText" dxfId="151" priority="677" operator="containsText" text="DO">
      <formula>NOT(ISERROR(SEARCH("DO",D39)))</formula>
    </cfRule>
  </conditionalFormatting>
  <conditionalFormatting sqref="D38:Z38">
    <cfRule type="containsText" dxfId="150" priority="409" operator="containsText" text="DO">
      <formula>NOT(ISERROR(SEARCH("DO",D38)))</formula>
    </cfRule>
  </conditionalFormatting>
  <conditionalFormatting sqref="D42:Z43">
    <cfRule type="containsText" dxfId="149" priority="124" operator="containsText" text="DO">
      <formula>NOT(ISERROR(SEARCH("DO",D42)))</formula>
    </cfRule>
  </conditionalFormatting>
  <conditionalFormatting sqref="D40:AA40">
    <cfRule type="containsText" dxfId="148" priority="793" operator="containsText" text="DO">
      <formula>NOT(ISERROR(SEARCH("DO",D40)))</formula>
    </cfRule>
  </conditionalFormatting>
  <conditionalFormatting sqref="D14:AD14">
    <cfRule type="containsText" dxfId="147" priority="142" operator="containsText" text="DO">
      <formula>NOT(ISERROR(SEARCH("DO",D14)))</formula>
    </cfRule>
  </conditionalFormatting>
  <conditionalFormatting sqref="D22:AD22">
    <cfRule type="containsText" dxfId="146" priority="137" operator="containsText" text="DO">
      <formula>NOT(ISERROR(SEARCH("DO",D22)))</formula>
    </cfRule>
  </conditionalFormatting>
  <conditionalFormatting sqref="D25:AD25">
    <cfRule type="containsText" dxfId="145" priority="18" operator="containsText" text="DO">
      <formula>NOT(ISERROR(SEARCH("DO",D25)))</formula>
    </cfRule>
  </conditionalFormatting>
  <conditionalFormatting sqref="D44:AD44">
    <cfRule type="containsText" dxfId="144" priority="19" operator="containsText" text="DO">
      <formula>NOT(ISERROR(SEARCH("DO",D44)))</formula>
    </cfRule>
  </conditionalFormatting>
  <conditionalFormatting sqref="D13:E13 G13:AG13">
    <cfRule type="containsText" dxfId="143" priority="183" operator="containsText" text="DO">
      <formula>NOT(ISERROR(SEARCH("DO",D13)))</formula>
    </cfRule>
  </conditionalFormatting>
  <conditionalFormatting sqref="D19:AG19">
    <cfRule type="containsText" dxfId="142" priority="208" operator="containsText" text="DO">
      <formula>NOT(ISERROR(SEARCH("DO",D19)))</formula>
    </cfRule>
  </conditionalFormatting>
  <conditionalFormatting sqref="D21:AG21">
    <cfRule type="containsText" dxfId="141" priority="204" operator="containsText" text="DO">
      <formula>NOT(ISERROR(SEARCH("DO",D21)))</formula>
    </cfRule>
  </conditionalFormatting>
  <conditionalFormatting sqref="D23:AG24">
    <cfRule type="containsText" dxfId="140" priority="139" operator="containsText" text="DO">
      <formula>NOT(ISERROR(SEARCH("DO",D23)))</formula>
    </cfRule>
  </conditionalFormatting>
  <conditionalFormatting sqref="D75:AH75">
    <cfRule type="containsText" dxfId="139" priority="440" operator="containsText" text="DO">
      <formula>NOT(ISERROR(SEARCH("DO",D75)))</formula>
    </cfRule>
  </conditionalFormatting>
  <conditionalFormatting sqref="E4">
    <cfRule type="containsText" dxfId="138" priority="286" operator="containsText" text="PH">
      <formula>NOT(ISERROR(SEARCH("PH",E4)))</formula>
    </cfRule>
    <cfRule type="containsText" dxfId="137" priority="287" operator="containsText" text="週日">
      <formula>NOT(ISERROR(SEARCH("週日",E4)))</formula>
    </cfRule>
  </conditionalFormatting>
  <conditionalFormatting sqref="E7">
    <cfRule type="containsText" dxfId="136" priority="219" operator="containsText" text="DO">
      <formula>NOT(ISERROR(SEARCH("DO",E7)))</formula>
    </cfRule>
  </conditionalFormatting>
  <conditionalFormatting sqref="E9:E10">
    <cfRule type="containsText" dxfId="135" priority="164" operator="containsText" text="DO">
      <formula>NOT(ISERROR(SEARCH("DO",E9)))</formula>
    </cfRule>
  </conditionalFormatting>
  <conditionalFormatting sqref="E67:J74">
    <cfRule type="containsText" dxfId="134" priority="469" operator="containsText" text="DO">
      <formula>NOT(ISERROR(SEARCH("DO",E67)))</formula>
    </cfRule>
  </conditionalFormatting>
  <conditionalFormatting sqref="E80:J81">
    <cfRule type="containsText" dxfId="133" priority="423" operator="containsText" text="DO">
      <formula>NOT(ISERROR(SEARCH("DO",E80)))</formula>
    </cfRule>
  </conditionalFormatting>
  <conditionalFormatting sqref="E53:O53">
    <cfRule type="containsText" dxfId="132" priority="109" operator="containsText" text="DO">
      <formula>NOT(ISERROR(SEARCH("DO",E53)))</formula>
    </cfRule>
  </conditionalFormatting>
  <conditionalFormatting sqref="E54:AH54">
    <cfRule type="containsText" dxfId="131" priority="315" operator="containsText" text="DO">
      <formula>NOT(ISERROR(SEARCH("DO",E54)))</formula>
    </cfRule>
  </conditionalFormatting>
  <conditionalFormatting sqref="F15:G17">
    <cfRule type="containsText" dxfId="130" priority="216" operator="containsText" text="DO">
      <formula>NOT(ISERROR(SEARCH("DO",F15)))</formula>
    </cfRule>
  </conditionalFormatting>
  <conditionalFormatting sqref="F64:G64">
    <cfRule type="containsText" dxfId="129" priority="437" operator="containsText" text="DO">
      <formula>NOT(ISERROR(SEARCH("DO",F64)))</formula>
    </cfRule>
  </conditionalFormatting>
  <conditionalFormatting sqref="F60:H60 F61:G61">
    <cfRule type="containsText" dxfId="128" priority="432" operator="containsText" text="DO">
      <formula>NOT(ISERROR(SEARCH("DO",F60)))</formula>
    </cfRule>
  </conditionalFormatting>
  <conditionalFormatting sqref="F12:I12">
    <cfRule type="containsText" dxfId="127" priority="171" operator="containsText" text="DO">
      <formula>NOT(ISERROR(SEARCH("DO",F12)))</formula>
    </cfRule>
  </conditionalFormatting>
  <conditionalFormatting sqref="F79:J79">
    <cfRule type="containsText" dxfId="126" priority="421" operator="containsText" text="DO">
      <formula>NOT(ISERROR(SEARCH("DO",F79)))</formula>
    </cfRule>
  </conditionalFormatting>
  <conditionalFormatting sqref="F59:O59">
    <cfRule type="containsText" dxfId="125" priority="107" operator="containsText" text="DO">
      <formula>NOT(ISERROR(SEARCH("DO",F59)))</formula>
    </cfRule>
  </conditionalFormatting>
  <conditionalFormatting sqref="F18:P18 R18:U18 Y18:AG18">
    <cfRule type="containsText" dxfId="124" priority="214" operator="containsText" text="DO">
      <formula>NOT(ISERROR(SEARCH("DO",F18)))</formula>
    </cfRule>
  </conditionalFormatting>
  <conditionalFormatting sqref="F78:U78">
    <cfRule type="containsText" dxfId="123" priority="418" operator="containsText" text="DO">
      <formula>NOT(ISERROR(SEARCH("DO",F78)))</formula>
    </cfRule>
  </conditionalFormatting>
  <conditionalFormatting sqref="G57:G58">
    <cfRule type="containsText" dxfId="122" priority="438" operator="containsText" text="DO">
      <formula>NOT(ISERROR(SEARCH("DO",G57)))</formula>
    </cfRule>
  </conditionalFormatting>
  <conditionalFormatting sqref="G63:H63">
    <cfRule type="containsText" dxfId="121" priority="129" operator="containsText" text="DO">
      <formula>NOT(ISERROR(SEARCH("DO",G63)))</formula>
    </cfRule>
  </conditionalFormatting>
  <conditionalFormatting sqref="G65:K65">
    <cfRule type="containsText" dxfId="120" priority="704" operator="containsText" text="DO">
      <formula>NOT(ISERROR(SEARCH("DO",G65)))</formula>
    </cfRule>
  </conditionalFormatting>
  <conditionalFormatting sqref="G56:AH56">
    <cfRule type="containsText" dxfId="119" priority="312" operator="containsText" text="DO">
      <formula>NOT(ISERROR(SEARCH("DO",G56)))</formula>
    </cfRule>
  </conditionalFormatting>
  <conditionalFormatting sqref="H4">
    <cfRule type="containsText" dxfId="118" priority="674" operator="containsText" text="PH">
      <formula>NOT(ISERROR(SEARCH("PH",H4)))</formula>
    </cfRule>
    <cfRule type="containsText" dxfId="117" priority="675" operator="containsText" text="週日">
      <formula>NOT(ISERROR(SEARCH("週日",H4)))</formula>
    </cfRule>
  </conditionalFormatting>
  <conditionalFormatting sqref="H7">
    <cfRule type="containsText" dxfId="116" priority="218" operator="containsText" text="DO">
      <formula>NOT(ISERROR(SEARCH("DO",H7)))</formula>
    </cfRule>
  </conditionalFormatting>
  <conditionalFormatting sqref="H58:AH58">
    <cfRule type="containsText" dxfId="115" priority="310" operator="containsText" text="DO">
      <formula>NOT(ISERROR(SEARCH("DO",H58)))</formula>
    </cfRule>
  </conditionalFormatting>
  <conditionalFormatting sqref="I57:K57">
    <cfRule type="containsText" dxfId="114" priority="110" operator="containsText" text="DO">
      <formula>NOT(ISERROR(SEARCH("DO",I57)))</formula>
    </cfRule>
  </conditionalFormatting>
  <conditionalFormatting sqref="I15:AG16">
    <cfRule type="containsText" dxfId="113" priority="190" operator="containsText" text="DO">
      <formula>NOT(ISERROR(SEARCH("DO",I15)))</formula>
    </cfRule>
  </conditionalFormatting>
  <conditionalFormatting sqref="J9">
    <cfRule type="containsText" dxfId="112" priority="193" operator="containsText" text="DO">
      <formula>NOT(ISERROR(SEARCH("DO",J9)))</formula>
    </cfRule>
  </conditionalFormatting>
  <conditionalFormatting sqref="J60:AH60">
    <cfRule type="containsText" dxfId="111" priority="304" operator="containsText" text="DO">
      <formula>NOT(ISERROR(SEARCH("DO",J60)))</formula>
    </cfRule>
  </conditionalFormatting>
  <conditionalFormatting sqref="K12">
    <cfRule type="containsText" dxfId="110" priority="170" operator="containsText" text="DO">
      <formula>NOT(ISERROR(SEARCH("DO",K12)))</formula>
    </cfRule>
  </conditionalFormatting>
  <conditionalFormatting sqref="K67:K70">
    <cfRule type="containsText" dxfId="109" priority="116" operator="containsText" text="DO">
      <formula>NOT(ISERROR(SEARCH("DO",K67)))</formula>
    </cfRule>
  </conditionalFormatting>
  <conditionalFormatting sqref="K79:K81">
    <cfRule type="containsText" dxfId="108" priority="427" operator="containsText" text="DO">
      <formula>NOT(ISERROR(SEARCH("DO",K79)))</formula>
    </cfRule>
  </conditionalFormatting>
  <conditionalFormatting sqref="K72:Q74">
    <cfRule type="containsText" dxfId="107" priority="406" operator="containsText" text="DO">
      <formula>NOT(ISERROR(SEARCH("DO",K72)))</formula>
    </cfRule>
  </conditionalFormatting>
  <conditionalFormatting sqref="L4">
    <cfRule type="containsText" dxfId="106" priority="284" operator="containsText" text="PH">
      <formula>NOT(ISERROR(SEARCH("PH",L4)))</formula>
    </cfRule>
    <cfRule type="containsText" dxfId="105" priority="285" operator="containsText" text="週日">
      <formula>NOT(ISERROR(SEARCH("週日",L4)))</formula>
    </cfRule>
  </conditionalFormatting>
  <conditionalFormatting sqref="L63">
    <cfRule type="containsText" dxfId="104" priority="115" operator="containsText" text="DO">
      <formula>NOT(ISERROR(SEARCH("DO",L63)))</formula>
    </cfRule>
  </conditionalFormatting>
  <conditionalFormatting sqref="L68:O68">
    <cfRule type="containsText" dxfId="103" priority="568" operator="containsText" text="DO">
      <formula>NOT(ISERROR(SEARCH("DO",L68)))</formula>
    </cfRule>
  </conditionalFormatting>
  <conditionalFormatting sqref="L67:P67">
    <cfRule type="containsText" dxfId="102" priority="112" operator="containsText" text="DO">
      <formula>NOT(ISERROR(SEARCH("DO",L67)))</formula>
    </cfRule>
  </conditionalFormatting>
  <conditionalFormatting sqref="L81:P81">
    <cfRule type="containsText" dxfId="101" priority="425" operator="containsText" text="DO">
      <formula>NOT(ISERROR(SEARCH("DO",L81)))</formula>
    </cfRule>
  </conditionalFormatting>
  <conditionalFormatting sqref="L79:Q79">
    <cfRule type="containsText" dxfId="100" priority="363" operator="containsText" text="DO">
      <formula>NOT(ISERROR(SEARCH("DO",L79)))</formula>
    </cfRule>
  </conditionalFormatting>
  <conditionalFormatting sqref="L71:AC71">
    <cfRule type="containsText" dxfId="99" priority="45" operator="containsText" text="DO">
      <formula>NOT(ISERROR(SEARCH("DO",L71)))</formula>
    </cfRule>
  </conditionalFormatting>
  <conditionalFormatting sqref="L61:AH61">
    <cfRule type="containsText" dxfId="98" priority="70" operator="containsText" text="DO">
      <formula>NOT(ISERROR(SEARCH("DO",L61)))</formula>
    </cfRule>
  </conditionalFormatting>
  <conditionalFormatting sqref="L80:AH80">
    <cfRule type="containsText" dxfId="97" priority="420" operator="containsText" text="DO">
      <formula>NOT(ISERROR(SEARCH("DO",L80)))</formula>
    </cfRule>
  </conditionalFormatting>
  <conditionalFormatting sqref="M12:P12">
    <cfRule type="containsText" dxfId="96" priority="169" operator="containsText" text="DO">
      <formula>NOT(ISERROR(SEARCH("DO",M12)))</formula>
    </cfRule>
  </conditionalFormatting>
  <conditionalFormatting sqref="M95:R95">
    <cfRule type="containsText" dxfId="95" priority="764" operator="containsText" text="DO">
      <formula>NOT(ISERROR(SEARCH("DO",M95)))</formula>
    </cfRule>
  </conditionalFormatting>
  <conditionalFormatting sqref="M65:AH65">
    <cfRule type="containsText" dxfId="94" priority="302" operator="containsText" text="DO">
      <formula>NOT(ISERROR(SEARCH("DO",M65)))</formula>
    </cfRule>
  </conditionalFormatting>
  <conditionalFormatting sqref="N57:AH57">
    <cfRule type="containsText" dxfId="93" priority="37" operator="containsText" text="DO">
      <formula>NOT(ISERROR(SEARCH("DO",N57)))</formula>
    </cfRule>
  </conditionalFormatting>
  <conditionalFormatting sqref="O4">
    <cfRule type="containsText" dxfId="92" priority="586" operator="containsText" text="PH">
      <formula>NOT(ISERROR(SEARCH("PH",O4)))</formula>
    </cfRule>
    <cfRule type="containsText" dxfId="91" priority="587" operator="containsText" text="週日">
      <formula>NOT(ISERROR(SEARCH("週日",O4)))</formula>
    </cfRule>
  </conditionalFormatting>
  <conditionalFormatting sqref="O45:O47">
    <cfRule type="containsText" dxfId="90" priority="462" operator="containsText" text="DO">
      <formula>NOT(ISERROR(SEARCH("DO",O45)))</formula>
    </cfRule>
  </conditionalFormatting>
  <conditionalFormatting sqref="O63">
    <cfRule type="containsText" dxfId="89" priority="106" operator="containsText" text="DO">
      <formula>NOT(ISERROR(SEARCH("DO",O63)))</formula>
    </cfRule>
  </conditionalFormatting>
  <conditionalFormatting sqref="O69:P69">
    <cfRule type="containsText" dxfId="88" priority="528" operator="containsText" text="DO">
      <formula>NOT(ISERROR(SEARCH("DO",O69)))</formula>
    </cfRule>
  </conditionalFormatting>
  <conditionalFormatting sqref="O51:R51">
    <cfRule type="containsText" dxfId="87" priority="90" operator="containsText" text="DO">
      <formula>NOT(ISERROR(SEARCH("DO",O51)))</formula>
    </cfRule>
  </conditionalFormatting>
  <conditionalFormatting sqref="P46:S46 D52:Q52 Y52:AH52 L69:N70 F76 H76:AH76 F77:AH77">
    <cfRule type="containsText" dxfId="86" priority="501" operator="containsText" text="DO">
      <formula>NOT(ISERROR(SEARCH("DO",D46)))</formula>
    </cfRule>
  </conditionalFormatting>
  <conditionalFormatting sqref="P45:T45">
    <cfRule type="containsText" dxfId="85" priority="94" operator="containsText" text="DO">
      <formula>NOT(ISERROR(SEARCH("DO",P45)))</formula>
    </cfRule>
  </conditionalFormatting>
  <conditionalFormatting sqref="Q17:Q18">
    <cfRule type="containsText" dxfId="84" priority="189" operator="containsText" text="DO">
      <formula>NOT(ISERROR(SEARCH("DO",Q17)))</formula>
    </cfRule>
  </conditionalFormatting>
  <conditionalFormatting sqref="Q63">
    <cfRule type="containsText" dxfId="83" priority="104" operator="containsText" text="DO">
      <formula>NOT(ISERROR(SEARCH("DO",Q63)))</formula>
    </cfRule>
  </conditionalFormatting>
  <conditionalFormatting sqref="Q53:R53">
    <cfRule type="containsText" dxfId="82" priority="353" operator="containsText" text="DO">
      <formula>NOT(ISERROR(SEARCH("DO",Q53)))</formula>
    </cfRule>
  </conditionalFormatting>
  <conditionalFormatting sqref="Q55:AH55">
    <cfRule type="containsText" dxfId="81" priority="29" operator="containsText" text="DO">
      <formula>NOT(ISERROR(SEARCH("DO",Q55)))</formula>
    </cfRule>
  </conditionalFormatting>
  <conditionalFormatting sqref="Q59:AH59">
    <cfRule type="containsText" dxfId="80" priority="21" operator="containsText" text="DO">
      <formula>NOT(ISERROR(SEARCH("DO",Q59)))</formula>
    </cfRule>
  </conditionalFormatting>
  <conditionalFormatting sqref="Q67:AH69">
    <cfRule type="containsText" dxfId="79" priority="31" operator="containsText" text="DO">
      <formula>NOT(ISERROR(SEARCH("DO",Q67)))</formula>
    </cfRule>
  </conditionalFormatting>
  <conditionalFormatting sqref="R71:R74">
    <cfRule type="containsText" dxfId="78" priority="544" operator="containsText" text="DO">
      <formula>NOT(ISERROR(SEARCH("DO",R71)))</formula>
    </cfRule>
  </conditionalFormatting>
  <conditionalFormatting sqref="R79:R81">
    <cfRule type="containsText" dxfId="77" priority="426" operator="containsText" text="DO">
      <formula>NOT(ISERROR(SEARCH("DO",R79)))</formula>
    </cfRule>
  </conditionalFormatting>
  <conditionalFormatting sqref="R20:AG20">
    <cfRule type="containsText" dxfId="76" priority="143" operator="containsText" text="DO">
      <formula>NOT(ISERROR(SEARCH("DO",R20)))</formula>
    </cfRule>
  </conditionalFormatting>
  <conditionalFormatting sqref="S4">
    <cfRule type="containsText" dxfId="75" priority="282" operator="containsText" text="PH">
      <formula>NOT(ISERROR(SEARCH("PH",S4)))</formula>
    </cfRule>
    <cfRule type="containsText" dxfId="74" priority="283" operator="containsText" text="週日">
      <formula>NOT(ISERROR(SEARCH("週日",S4)))</formula>
    </cfRule>
  </conditionalFormatting>
  <conditionalFormatting sqref="S51:S53">
    <cfRule type="containsText" dxfId="73" priority="88" operator="containsText" text="DO">
      <formula>NOT(ISERROR(SEARCH("DO",S51)))</formula>
    </cfRule>
  </conditionalFormatting>
  <conditionalFormatting sqref="S72:AC74">
    <cfRule type="containsText" dxfId="72" priority="534" operator="containsText" text="DO">
      <formula>NOT(ISERROR(SEARCH("DO",S72)))</formula>
    </cfRule>
  </conditionalFormatting>
  <conditionalFormatting sqref="S79:AH79">
    <cfRule type="containsText" dxfId="71" priority="416" operator="containsText" text="DO">
      <formula>NOT(ISERROR(SEARCH("DO",S79)))</formula>
    </cfRule>
  </conditionalFormatting>
  <conditionalFormatting sqref="S81:AH81">
    <cfRule type="containsText" dxfId="70" priority="424" operator="containsText" text="DO">
      <formula>NOT(ISERROR(SEARCH("DO",S81)))</formula>
    </cfRule>
  </conditionalFormatting>
  <conditionalFormatting sqref="S94:AH95">
    <cfRule type="containsText" dxfId="69" priority="265" operator="containsText" text="DO">
      <formula>NOT(ISERROR(SEARCH("DO",S94)))</formula>
    </cfRule>
  </conditionalFormatting>
  <conditionalFormatting sqref="T12:U12">
    <cfRule type="containsText" dxfId="68" priority="151" operator="containsText" text="DO">
      <formula>NOT(ISERROR(SEARCH("DO",T12)))</formula>
    </cfRule>
  </conditionalFormatting>
  <conditionalFormatting sqref="T47:V47">
    <cfRule type="containsText" dxfId="67" priority="84" operator="containsText" text="DO">
      <formula>NOT(ISERROR(SEARCH("DO",T47)))</formula>
    </cfRule>
  </conditionalFormatting>
  <conditionalFormatting sqref="T62:X62 Z62:AB62 AD62:AH62">
    <cfRule type="containsText" dxfId="66" priority="303" operator="containsText" text="DO">
      <formula>NOT(ISERROR(SEARCH("DO",T62)))</formula>
    </cfRule>
  </conditionalFormatting>
  <conditionalFormatting sqref="T63:AC63">
    <cfRule type="containsText" dxfId="65" priority="77" operator="containsText" text="DO">
      <formula>NOT(ISERROR(SEARCH("DO",T63)))</formula>
    </cfRule>
  </conditionalFormatting>
  <conditionalFormatting sqref="T70:AC70">
    <cfRule type="containsText" dxfId="64" priority="513" operator="containsText" text="DO">
      <formula>NOT(ISERROR(SEARCH("DO",T70)))</formula>
    </cfRule>
  </conditionalFormatting>
  <conditionalFormatting sqref="T53:AH53">
    <cfRule type="containsText" dxfId="63" priority="47" operator="containsText" text="DO">
      <formula>NOT(ISERROR(SEARCH("DO",T53)))</formula>
    </cfRule>
  </conditionalFormatting>
  <conditionalFormatting sqref="T64:AH64">
    <cfRule type="containsText" dxfId="62" priority="306" operator="containsText" text="DO">
      <formula>NOT(ISERROR(SEARCH("DO",T64)))</formula>
    </cfRule>
  </conditionalFormatting>
  <conditionalFormatting sqref="U7">
    <cfRule type="containsText" dxfId="61" priority="222" operator="containsText" text="DO">
      <formula>NOT(ISERROR(SEARCH("DO",U7)))</formula>
    </cfRule>
  </conditionalFormatting>
  <conditionalFormatting sqref="U9">
    <cfRule type="containsText" dxfId="60" priority="198" operator="containsText" text="DO">
      <formula>NOT(ISERROR(SEARCH("DO",U9)))</formula>
    </cfRule>
  </conditionalFormatting>
  <conditionalFormatting sqref="V4">
    <cfRule type="containsText" dxfId="59" priority="292" operator="containsText" text="PH">
      <formula>NOT(ISERROR(SEARCH("PH",V4)))</formula>
    </cfRule>
    <cfRule type="containsText" dxfId="58" priority="293" operator="containsText" text="週日">
      <formula>NOT(ISERROR(SEARCH("週日",V4)))</formula>
    </cfRule>
  </conditionalFormatting>
  <conditionalFormatting sqref="V51">
    <cfRule type="containsText" dxfId="57" priority="83" operator="containsText" text="DO">
      <formula>NOT(ISERROR(SEARCH("DO",V51)))</formula>
    </cfRule>
  </conditionalFormatting>
  <conditionalFormatting sqref="V96:V98">
    <cfRule type="containsText" dxfId="56" priority="266" operator="containsText" text="DO">
      <formula>NOT(ISERROR(SEARCH("DO",V96)))</formula>
    </cfRule>
  </conditionalFormatting>
  <conditionalFormatting sqref="V18:X18 W17:X17">
    <cfRule type="containsText" dxfId="55" priority="186" operator="containsText" text="DO">
      <formula>NOT(ISERROR(SEARCH("DO",V17)))</formula>
    </cfRule>
  </conditionalFormatting>
  <conditionalFormatting sqref="V45:AH45">
    <cfRule type="containsText" dxfId="54" priority="53" operator="containsText" text="DO">
      <formula>NOT(ISERROR(SEARCH("DO",V45)))</formula>
    </cfRule>
  </conditionalFormatting>
  <conditionalFormatting sqref="W12">
    <cfRule type="containsText" dxfId="53" priority="168" operator="containsText" text="DO">
      <formula>NOT(ISERROR(SEARCH("DO",W12)))</formula>
    </cfRule>
  </conditionalFormatting>
  <conditionalFormatting sqref="W23:Z23">
    <cfRule type="expression" dxfId="52" priority="226">
      <formula>#REF!&lt;&gt;4728</formula>
    </cfRule>
  </conditionalFormatting>
  <conditionalFormatting sqref="W37:AH37">
    <cfRule type="containsText" dxfId="51" priority="1004" operator="containsText" text="DO">
      <formula>NOT(ISERROR(SEARCH("DO",W37)))</formula>
    </cfRule>
  </conditionalFormatting>
  <conditionalFormatting sqref="W39:AH39">
    <cfRule type="containsText" dxfId="50" priority="578" operator="containsText" text="DO">
      <formula>NOT(ISERROR(SEARCH("DO",W39)))</formula>
    </cfRule>
  </conditionalFormatting>
  <conditionalFormatting sqref="W78:AH78">
    <cfRule type="containsText" dxfId="49" priority="417" operator="containsText" text="DO">
      <formula>NOT(ISERROR(SEARCH("DO",W78)))</formula>
    </cfRule>
  </conditionalFormatting>
  <conditionalFormatting sqref="X47">
    <cfRule type="containsText" dxfId="48" priority="75" operator="containsText" text="DO">
      <formula>NOT(ISERROR(SEARCH("DO",X47)))</formula>
    </cfRule>
  </conditionalFormatting>
  <conditionalFormatting sqref="X66:AH66 AD70:AH74">
    <cfRule type="containsText" dxfId="47" priority="407" operator="containsText" text="DO">
      <formula>NOT(ISERROR(SEARCH("DO",X66)))</formula>
    </cfRule>
  </conditionalFormatting>
  <conditionalFormatting sqref="Y12">
    <cfRule type="containsText" dxfId="46" priority="167" operator="containsText" text="DO">
      <formula>NOT(ISERROR(SEARCH("DO",Y12)))</formula>
    </cfRule>
  </conditionalFormatting>
  <conditionalFormatting sqref="Y22">
    <cfRule type="expression" dxfId="45" priority="206">
      <formula>#REF!&lt;&gt;4728</formula>
    </cfRule>
  </conditionalFormatting>
  <conditionalFormatting sqref="Y17:Z17">
    <cfRule type="containsText" dxfId="44" priority="215" operator="containsText" text="DO">
      <formula>NOT(ISERROR(SEARCH("DO",Y17)))</formula>
    </cfRule>
  </conditionalFormatting>
  <conditionalFormatting sqref="Y51:AD51">
    <cfRule type="containsText" dxfId="43" priority="71" operator="containsText" text="DO">
      <formula>NOT(ISERROR(SEARCH("DO",Y51)))</formula>
    </cfRule>
  </conditionalFormatting>
  <conditionalFormatting sqref="Y48:AH50">
    <cfRule type="containsText" dxfId="42" priority="72" operator="containsText" text="DO">
      <formula>NOT(ISERROR(SEARCH("DO",Y48)))</formula>
    </cfRule>
  </conditionalFormatting>
  <conditionalFormatting sqref="Z4">
    <cfRule type="containsText" dxfId="41" priority="280" operator="containsText" text="PH">
      <formula>NOT(ISERROR(SEARCH("PH",Z4)))</formula>
    </cfRule>
    <cfRule type="containsText" dxfId="40" priority="281" operator="containsText" text="週日">
      <formula>NOT(ISERROR(SEARCH("週日",Z4)))</formula>
    </cfRule>
  </conditionalFormatting>
  <conditionalFormatting sqref="Z24">
    <cfRule type="expression" dxfId="39" priority="225">
      <formula>#REF!&lt;&gt;4728</formula>
    </cfRule>
  </conditionalFormatting>
  <conditionalFormatting sqref="Z27:Z28">
    <cfRule type="expression" dxfId="38" priority="202">
      <formula>#REF!&lt;&gt;4728</formula>
    </cfRule>
  </conditionalFormatting>
  <conditionalFormatting sqref="AA12:AD12">
    <cfRule type="containsText" dxfId="37" priority="165" operator="containsText" text="DO">
      <formula>NOT(ISERROR(SEARCH("DO",AA12)))</formula>
    </cfRule>
  </conditionalFormatting>
  <conditionalFormatting sqref="AA43:AD43">
    <cfRule type="containsText" dxfId="36" priority="24" operator="containsText" text="DO">
      <formula>NOT(ISERROR(SEARCH("DO",AA43)))</formula>
    </cfRule>
  </conditionalFormatting>
  <conditionalFormatting sqref="AC17:AD17">
    <cfRule type="containsText" dxfId="35" priority="211" operator="containsText" text="DO">
      <formula>NOT(ISERROR(SEARCH("DO",AC17)))</formula>
    </cfRule>
  </conditionalFormatting>
  <conditionalFormatting sqref="AC4">
    <cfRule type="containsText" dxfId="34" priority="288" operator="containsText" text="PH">
      <formula>NOT(ISERROR(SEARCH("PH",AC4)))</formula>
    </cfRule>
    <cfRule type="containsText" dxfId="33" priority="289" operator="containsText" text="週日">
      <formula>NOT(ISERROR(SEARCH("週日",AC4)))</formula>
    </cfRule>
  </conditionalFormatting>
  <conditionalFormatting sqref="AC47">
    <cfRule type="containsText" dxfId="32" priority="41" operator="containsText" text="DO">
      <formula>NOT(ISERROR(SEARCH("DO",AC47)))</formula>
    </cfRule>
  </conditionalFormatting>
  <conditionalFormatting sqref="AC7:AD7 AF7:AG7">
    <cfRule type="containsText" dxfId="31" priority="221" operator="containsText" text="DO">
      <formula>NOT(ISERROR(SEARCH("DO",AC7)))</formula>
    </cfRule>
  </conditionalFormatting>
  <conditionalFormatting sqref="AC9:AH9">
    <cfRule type="containsText" dxfId="30" priority="197" operator="containsText" text="DO">
      <formula>NOT(ISERROR(SEARCH("DO",AC9)))</formula>
    </cfRule>
  </conditionalFormatting>
  <conditionalFormatting sqref="AC38:AH38">
    <cfRule type="containsText" dxfId="29" priority="279" operator="containsText" text="DO">
      <formula>NOT(ISERROR(SEARCH("DO",AC38)))</formula>
    </cfRule>
  </conditionalFormatting>
  <conditionalFormatting sqref="AC40:AH40">
    <cfRule type="containsText" dxfId="28" priority="795" operator="containsText" text="DO">
      <formula>NOT(ISERROR(SEARCH("DO",AC40)))</formula>
    </cfRule>
  </conditionalFormatting>
  <conditionalFormatting sqref="AE6">
    <cfRule type="containsText" dxfId="27" priority="223" operator="containsText" text="DO">
      <formula>NOT(ISERROR(SEARCH("DO",AE6)))</formula>
    </cfRule>
  </conditionalFormatting>
  <conditionalFormatting sqref="AF12">
    <cfRule type="containsText" dxfId="26" priority="173" operator="containsText" text="DO">
      <formula>NOT(ISERROR(SEARCH("DO",AF12)))</formula>
    </cfRule>
  </conditionalFormatting>
  <conditionalFormatting sqref="AF14:AG14">
    <cfRule type="containsText" dxfId="25" priority="150" operator="containsText" text="DO">
      <formula>NOT(ISERROR(SEARCH("DO",AF14)))</formula>
    </cfRule>
  </conditionalFormatting>
  <conditionalFormatting sqref="AF22:AG22">
    <cfRule type="containsText" dxfId="24" priority="146" operator="containsText" text="DO">
      <formula>NOT(ISERROR(SEARCH("DO",AF22)))</formula>
    </cfRule>
  </conditionalFormatting>
  <conditionalFormatting sqref="AF47:AG47">
    <cfRule type="containsText" dxfId="23" priority="56" operator="containsText" text="DO">
      <formula>NOT(ISERROR(SEARCH("DO",AF47)))</formula>
    </cfRule>
  </conditionalFormatting>
  <conditionalFormatting sqref="AG4">
    <cfRule type="containsText" dxfId="22" priority="277" operator="containsText" text="PH">
      <formula>NOT(ISERROR(SEARCH("PH",AG4)))</formula>
    </cfRule>
    <cfRule type="containsText" dxfId="21" priority="278" operator="containsText" text="週日">
      <formula>NOT(ISERROR(SEARCH("週日",AG4)))</formula>
    </cfRule>
  </conditionalFormatting>
  <conditionalFormatting sqref="AH6:AH7">
    <cfRule type="containsText" dxfId="20" priority="257" operator="containsText" text="DO">
      <formula>NOT(ISERROR(SEARCH("DO",AH6)))</formula>
    </cfRule>
  </conditionalFormatting>
  <conditionalFormatting sqref="AH13:AH24">
    <cfRule type="containsText" dxfId="19" priority="240" operator="containsText" text="DO">
      <formula>NOT(ISERROR(SEARCH("DO",AH13)))</formula>
    </cfRule>
  </conditionalFormatting>
  <conditionalFormatting sqref="D17">
    <cfRule type="containsText" dxfId="18" priority="17" operator="containsText" text="DO">
      <formula>NOT(ISERROR(SEARCH("DO",D17)))</formula>
    </cfRule>
  </conditionalFormatting>
  <conditionalFormatting sqref="E17">
    <cfRule type="containsText" dxfId="17" priority="16" operator="containsText" text="DO">
      <formula>NOT(ISERROR(SEARCH("DO",E17)))</formula>
    </cfRule>
  </conditionalFormatting>
  <conditionalFormatting sqref="H17">
    <cfRule type="containsText" dxfId="16" priority="15" operator="containsText" text="DO">
      <formula>NOT(ISERROR(SEARCH("DO",H17)))</formula>
    </cfRule>
  </conditionalFormatting>
  <conditionalFormatting sqref="G9">
    <cfRule type="containsText" dxfId="15" priority="14" operator="containsText" text="DO">
      <formula>NOT(ISERROR(SEARCH("DO",G9)))</formula>
    </cfRule>
  </conditionalFormatting>
  <conditionalFormatting sqref="H9">
    <cfRule type="containsText" dxfId="14" priority="13" operator="containsText" text="DO">
      <formula>NOT(ISERROR(SEARCH("DO",H9)))</formula>
    </cfRule>
  </conditionalFormatting>
  <conditionalFormatting sqref="J17">
    <cfRule type="containsText" dxfId="13" priority="12" operator="containsText" text="DO">
      <formula>NOT(ISERROR(SEARCH("DO",J17)))</formula>
    </cfRule>
  </conditionalFormatting>
  <conditionalFormatting sqref="K17:P17">
    <cfRule type="containsText" dxfId="12" priority="11" operator="containsText" text="DO">
      <formula>NOT(ISERROR(SEARCH("DO",K17)))</formula>
    </cfRule>
  </conditionalFormatting>
  <conditionalFormatting sqref="R17:S17">
    <cfRule type="containsText" dxfId="11" priority="9" operator="containsText" text="DO">
      <formula>NOT(ISERROR(SEARCH("DO",R17)))</formula>
    </cfRule>
  </conditionalFormatting>
  <conditionalFormatting sqref="U17">
    <cfRule type="containsText" dxfId="10" priority="8" operator="containsText" text="DO">
      <formula>NOT(ISERROR(SEARCH("DO",U17)))</formula>
    </cfRule>
  </conditionalFormatting>
  <conditionalFormatting sqref="V17">
    <cfRule type="containsText" dxfId="9" priority="7" operator="containsText" text="DO">
      <formula>NOT(ISERROR(SEARCH("DO",V17)))</formula>
    </cfRule>
  </conditionalFormatting>
  <conditionalFormatting sqref="W9">
    <cfRule type="containsText" dxfId="8" priority="6" operator="containsText" text="DO">
      <formula>NOT(ISERROR(SEARCH("DO",W9)))</formula>
    </cfRule>
  </conditionalFormatting>
  <conditionalFormatting sqref="AB17">
    <cfRule type="containsText" dxfId="7" priority="5" operator="containsText" text="DO">
      <formula>NOT(ISERROR(SEARCH("DO",AB17)))</formula>
    </cfRule>
  </conditionalFormatting>
  <conditionalFormatting sqref="AF17">
    <cfRule type="containsText" dxfId="6" priority="4" operator="containsText" text="DO">
      <formula>NOT(ISERROR(SEARCH("DO",AF17)))</formula>
    </cfRule>
  </conditionalFormatting>
  <conditionalFormatting sqref="AG17">
    <cfRule type="containsText" dxfId="5" priority="3" operator="containsText" text="DO">
      <formula>NOT(ISERROR(SEARCH("DO",AG17)))</formula>
    </cfRule>
  </conditionalFormatting>
  <conditionalFormatting sqref="F13">
    <cfRule type="containsText" dxfId="4" priority="2" operator="containsText" text="DO">
      <formula>NOT(ISERROR(SEARCH("DO",F13)))</formula>
    </cfRule>
  </conditionalFormatting>
  <conditionalFormatting sqref="D15">
    <cfRule type="containsText" dxfId="3" priority="1" operator="containsText" text="DO">
      <formula>NOT(ISERROR(SEARCH("DO",D15)))</formula>
    </cfRule>
  </conditionalFormatting>
  <printOptions horizontalCentered="1"/>
  <pageMargins left="3.937007874015748E-2" right="3.937007874015748E-2" top="0.74803149606299213" bottom="0.15748031496062992" header="0.31496062992125984" footer="0.31496062992125984"/>
  <pageSetup paperSize="8" scale="58" pageOrder="overThenDown" orientation="portrait" r:id="rId1"/>
  <colBreaks count="1" manualBreakCount="1">
    <brk id="18" max="33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E032-FB57-4C51-850E-72440BC19F40}">
  <sheetPr>
    <tabColor theme="0"/>
  </sheetPr>
  <dimension ref="A1:CI316"/>
  <sheetViews>
    <sheetView view="pageBreakPreview" topLeftCell="AM17" zoomScale="60" zoomScaleNormal="70" zoomScalePageLayoutView="60" workbookViewId="0">
      <selection activeCell="BA26" sqref="BA26"/>
    </sheetView>
  </sheetViews>
  <sheetFormatPr defaultColWidth="9.140625" defaultRowHeight="15" outlineLevelCol="1"/>
  <cols>
    <col min="1" max="1" width="6" style="3" hidden="1" customWidth="1" outlineLevel="1"/>
    <col min="2" max="2" width="16" style="3" hidden="1" customWidth="1" outlineLevel="1"/>
    <col min="3" max="3" width="16.85546875" style="3" hidden="1" customWidth="1" outlineLevel="1"/>
    <col min="4" max="4" width="20.140625" style="3" hidden="1" customWidth="1" outlineLevel="1"/>
    <col min="5" max="14" width="10.5703125" style="3" hidden="1" customWidth="1" outlineLevel="1"/>
    <col min="15" max="15" width="12.140625" style="3" hidden="1" customWidth="1" outlineLevel="1"/>
    <col min="16" max="16" width="9.5703125" style="3" hidden="1" customWidth="1" outlineLevel="1"/>
    <col min="17" max="35" width="10.5703125" style="3" hidden="1" customWidth="1" outlineLevel="1"/>
    <col min="36" max="36" width="3.140625" style="3" hidden="1" customWidth="1" outlineLevel="1"/>
    <col min="37" max="37" width="1.140625" style="21" hidden="1" customWidth="1" collapsed="1"/>
    <col min="38" max="38" width="0" style="22" hidden="1" customWidth="1"/>
    <col min="39" max="39" width="16.85546875" style="22" customWidth="1"/>
    <col min="40" max="40" width="14.140625" style="22" customWidth="1"/>
    <col min="41" max="41" width="2.5703125" style="22" customWidth="1"/>
    <col min="42" max="50" width="16" style="22" customWidth="1"/>
    <col min="51" max="51" width="1.42578125" style="22" customWidth="1"/>
    <col min="52" max="52" width="21.42578125" style="22" customWidth="1"/>
    <col min="53" max="53" width="14.140625" style="24" customWidth="1"/>
    <col min="54" max="54" width="20.5703125" style="22" customWidth="1"/>
    <col min="55" max="55" width="17.5703125" style="22" customWidth="1"/>
    <col min="56" max="56" width="15.85546875" style="22" customWidth="1"/>
    <col min="57" max="87" width="9.140625" style="22"/>
    <col min="88" max="16384" width="9.140625" style="3"/>
  </cols>
  <sheetData>
    <row r="1" spans="1:57" ht="33" customHeight="1">
      <c r="A1" s="1044"/>
      <c r="B1" s="1044"/>
      <c r="C1" s="1044"/>
      <c r="D1" s="1044"/>
      <c r="E1" s="1044"/>
      <c r="F1" s="1044"/>
      <c r="G1" s="1044"/>
      <c r="H1" s="1044"/>
      <c r="I1" s="1044"/>
      <c r="J1" s="1044"/>
      <c r="K1" s="1044"/>
      <c r="L1" s="1044"/>
      <c r="M1" s="1044"/>
      <c r="N1" s="1044"/>
      <c r="O1" s="1044"/>
      <c r="P1" s="1044"/>
      <c r="Q1" s="1044"/>
      <c r="R1" s="1044"/>
      <c r="S1" s="1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M1" s="41" t="s">
        <v>220</v>
      </c>
      <c r="BA1" s="23"/>
    </row>
    <row r="2" spans="1:57" ht="21.75" customHeight="1">
      <c r="A2" s="4"/>
      <c r="B2" s="4"/>
      <c r="C2" s="4"/>
      <c r="D2" s="5"/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3" t="s">
        <v>11</v>
      </c>
      <c r="K2" s="13" t="s">
        <v>12</v>
      </c>
      <c r="L2" s="12" t="s">
        <v>6</v>
      </c>
      <c r="M2" s="12" t="s">
        <v>7</v>
      </c>
      <c r="N2" s="12" t="s">
        <v>8</v>
      </c>
      <c r="O2" s="12" t="s">
        <v>9</v>
      </c>
      <c r="P2" s="12" t="s">
        <v>10</v>
      </c>
      <c r="Q2" s="13" t="s">
        <v>11</v>
      </c>
      <c r="R2" s="13" t="s">
        <v>12</v>
      </c>
      <c r="S2" s="12" t="s">
        <v>6</v>
      </c>
      <c r="T2" s="12" t="s">
        <v>7</v>
      </c>
      <c r="U2" s="12" t="s">
        <v>8</v>
      </c>
      <c r="V2" s="12" t="s">
        <v>9</v>
      </c>
      <c r="W2" s="12" t="s">
        <v>10</v>
      </c>
      <c r="X2" s="13" t="s">
        <v>11</v>
      </c>
      <c r="Y2" s="13" t="s">
        <v>12</v>
      </c>
      <c r="Z2" s="12" t="s">
        <v>6</v>
      </c>
      <c r="AA2" s="12" t="s">
        <v>7</v>
      </c>
      <c r="AB2" s="12" t="s">
        <v>8</v>
      </c>
      <c r="AC2" s="13" t="s">
        <v>9</v>
      </c>
      <c r="AD2" s="12" t="s">
        <v>10</v>
      </c>
      <c r="AE2" s="13" t="s">
        <v>11</v>
      </c>
      <c r="AF2" s="13" t="s">
        <v>12</v>
      </c>
      <c r="AG2" s="12" t="s">
        <v>6</v>
      </c>
      <c r="AH2" s="12" t="s">
        <v>7</v>
      </c>
      <c r="AI2" s="14"/>
      <c r="AQ2" s="44" t="s">
        <v>221</v>
      </c>
      <c r="AR2" s="42" t="s">
        <v>222</v>
      </c>
      <c r="AT2" s="44" t="s">
        <v>223</v>
      </c>
      <c r="AU2" s="43" t="s">
        <v>224</v>
      </c>
      <c r="AW2" s="44" t="s">
        <v>225</v>
      </c>
      <c r="AX2" s="43" t="s">
        <v>226</v>
      </c>
    </row>
    <row r="3" spans="1:57" ht="21">
      <c r="A3" s="4"/>
      <c r="B3" s="15" t="s">
        <v>227</v>
      </c>
      <c r="C3" s="16" t="s">
        <v>31</v>
      </c>
      <c r="D3" s="16" t="s">
        <v>32</v>
      </c>
      <c r="E3" s="12">
        <v>1</v>
      </c>
      <c r="F3" s="12">
        <v>2</v>
      </c>
      <c r="G3" s="12">
        <v>3</v>
      </c>
      <c r="H3" s="17">
        <v>4</v>
      </c>
      <c r="I3" s="17">
        <v>5</v>
      </c>
      <c r="J3" s="13">
        <v>6</v>
      </c>
      <c r="K3" s="13">
        <v>7</v>
      </c>
      <c r="L3" s="12">
        <v>8</v>
      </c>
      <c r="M3" s="12">
        <v>9</v>
      </c>
      <c r="N3" s="12">
        <v>10</v>
      </c>
      <c r="O3" s="12">
        <v>11</v>
      </c>
      <c r="P3" s="12">
        <v>12</v>
      </c>
      <c r="Q3" s="13">
        <v>13</v>
      </c>
      <c r="R3" s="13">
        <v>14</v>
      </c>
      <c r="S3" s="12">
        <v>15</v>
      </c>
      <c r="T3" s="12">
        <v>16</v>
      </c>
      <c r="U3" s="12">
        <v>17</v>
      </c>
      <c r="V3" s="17">
        <v>18</v>
      </c>
      <c r="W3" s="17">
        <v>19</v>
      </c>
      <c r="X3" s="13">
        <v>20</v>
      </c>
      <c r="Y3" s="13">
        <v>21</v>
      </c>
      <c r="Z3" s="12">
        <v>22</v>
      </c>
      <c r="AA3" s="12">
        <v>23</v>
      </c>
      <c r="AB3" s="12">
        <v>24</v>
      </c>
      <c r="AC3" s="13">
        <v>25</v>
      </c>
      <c r="AD3" s="12">
        <v>26</v>
      </c>
      <c r="AE3" s="13">
        <v>27</v>
      </c>
      <c r="AF3" s="13">
        <v>28</v>
      </c>
      <c r="AG3" s="12">
        <v>29</v>
      </c>
      <c r="AH3" s="12">
        <v>30</v>
      </c>
      <c r="AI3" s="18">
        <v>31</v>
      </c>
      <c r="AM3" s="71" t="s">
        <v>228</v>
      </c>
      <c r="AN3" s="72" t="s">
        <v>229</v>
      </c>
      <c r="AQ3" s="44" t="s">
        <v>230</v>
      </c>
      <c r="AR3" s="43" t="s">
        <v>231</v>
      </c>
      <c r="AT3" s="44" t="s">
        <v>232</v>
      </c>
      <c r="AU3" s="43" t="s">
        <v>231</v>
      </c>
      <c r="AW3" s="44" t="s">
        <v>233</v>
      </c>
      <c r="AX3" s="43" t="s">
        <v>234</v>
      </c>
    </row>
    <row r="4" spans="1:57" ht="21" thickBot="1">
      <c r="A4" s="7">
        <v>1</v>
      </c>
      <c r="B4" s="19" t="e">
        <f>#REF!</f>
        <v>#REF!</v>
      </c>
      <c r="C4" s="5" t="e">
        <f>#REF!</f>
        <v>#REF!</v>
      </c>
      <c r="D4" s="5" t="e">
        <f>#REF!</f>
        <v>#REF!</v>
      </c>
      <c r="E4" s="20" t="e">
        <f>#REF!&amp;#REF!&amp;COUNTIF(#REF!,#REF!)</f>
        <v>#REF!</v>
      </c>
      <c r="F4" s="20" t="e">
        <f>#REF!&amp;#REF!&amp;COUNTIF(#REF!,#REF!)</f>
        <v>#REF!</v>
      </c>
      <c r="G4" s="20" t="e">
        <f>#REF!&amp;#REF!&amp;COUNTIF(#REF!,#REF!)</f>
        <v>#REF!</v>
      </c>
      <c r="H4" s="20" t="e">
        <f>#REF!&amp;#REF!&amp;COUNTIF(#REF!,#REF!)</f>
        <v>#REF!</v>
      </c>
      <c r="I4" s="20" t="e">
        <f>#REF!&amp;#REF!&amp;COUNTIF(#REF!,#REF!)</f>
        <v>#REF!</v>
      </c>
      <c r="J4" s="20" t="e">
        <f>#REF!&amp;#REF!&amp;COUNTIF(#REF!,#REF!)</f>
        <v>#REF!</v>
      </c>
      <c r="K4" s="20" t="e">
        <f>#REF!&amp;#REF!&amp;COUNTIF(#REF!,#REF!)</f>
        <v>#REF!</v>
      </c>
      <c r="L4" s="20" t="e">
        <f>#REF!&amp;#REF!&amp;COUNTIF(#REF!,#REF!)</f>
        <v>#REF!</v>
      </c>
      <c r="M4" s="20" t="e">
        <f>#REF!&amp;#REF!&amp;COUNTIF(#REF!,#REF!)</f>
        <v>#REF!</v>
      </c>
      <c r="N4" s="20" t="e">
        <f>#REF!&amp;#REF!&amp;COUNTIF(#REF!,#REF!)</f>
        <v>#REF!</v>
      </c>
      <c r="O4" s="20" t="e">
        <f>#REF!&amp;#REF!&amp;COUNTIF(#REF!,#REF!)</f>
        <v>#REF!</v>
      </c>
      <c r="P4" s="20" t="e">
        <f>#REF!&amp;#REF!&amp;COUNTIF(#REF!,#REF!)</f>
        <v>#REF!</v>
      </c>
      <c r="Q4" s="20" t="e">
        <f>#REF!&amp;#REF!&amp;COUNTIF(#REF!,#REF!)</f>
        <v>#REF!</v>
      </c>
      <c r="R4" s="20" t="e">
        <f>#REF!&amp;#REF!&amp;COUNTIF(#REF!,#REF!)</f>
        <v>#REF!</v>
      </c>
      <c r="S4" s="20" t="e">
        <f>#REF!&amp;#REF!&amp;COUNTIF(#REF!,#REF!)</f>
        <v>#REF!</v>
      </c>
      <c r="T4" s="20" t="e">
        <f>#REF!&amp;#REF!&amp;COUNTIF(#REF!,#REF!)</f>
        <v>#REF!</v>
      </c>
      <c r="U4" s="20" t="e">
        <f>#REF!&amp;#REF!&amp;COUNTIF(#REF!,#REF!)</f>
        <v>#REF!</v>
      </c>
      <c r="V4" s="20" t="e">
        <f>#REF!&amp;#REF!&amp;COUNTIF(#REF!,#REF!)</f>
        <v>#REF!</v>
      </c>
      <c r="W4" s="20" t="e">
        <f>#REF!&amp;#REF!&amp;COUNTIF(#REF!,#REF!)</f>
        <v>#REF!</v>
      </c>
      <c r="X4" s="20" t="e">
        <f>#REF!&amp;#REF!&amp;COUNTIF(#REF!,#REF!)</f>
        <v>#REF!</v>
      </c>
      <c r="Y4" s="20" t="e">
        <f>#REF!&amp;#REF!&amp;COUNTIF(#REF!,#REF!)</f>
        <v>#REF!</v>
      </c>
      <c r="Z4" s="20" t="e">
        <f>#REF!&amp;#REF!&amp;COUNTIF(#REF!,#REF!)</f>
        <v>#REF!</v>
      </c>
      <c r="AA4" s="20" t="e">
        <f>#REF!&amp;#REF!&amp;COUNTIF(#REF!,#REF!)</f>
        <v>#REF!</v>
      </c>
      <c r="AB4" s="20" t="e">
        <f>#REF!&amp;#REF!&amp;COUNTIF(#REF!,#REF!)</f>
        <v>#REF!</v>
      </c>
      <c r="AC4" s="20" t="e">
        <f>#REF!&amp;#REF!&amp;COUNTIF(#REF!,#REF!)</f>
        <v>#REF!</v>
      </c>
      <c r="AD4" s="20" t="e">
        <f>#REF!&amp;#REF!&amp;COUNTIF(#REF!,#REF!)</f>
        <v>#REF!</v>
      </c>
      <c r="AE4" s="20" t="e">
        <f>#REF!&amp;#REF!&amp;COUNTIF(#REF!,#REF!)</f>
        <v>#REF!</v>
      </c>
      <c r="AF4" s="20" t="e">
        <f>#REF!&amp;#REF!&amp;COUNTIF(#REF!,#REF!)</f>
        <v>#REF!</v>
      </c>
      <c r="AG4" s="20" t="e">
        <f>#REF!&amp;#REF!&amp;COUNTIF(#REF!,#REF!)</f>
        <v>#REF!</v>
      </c>
      <c r="AH4" s="20" t="e">
        <f>#REF!&amp;#REF!&amp;COUNTIF(#REF!,#REF!)</f>
        <v>#REF!</v>
      </c>
      <c r="AI4" s="20" t="e">
        <f>#REF!&amp;#REF!&amp;COUNTIF(#REF!,#REF!)</f>
        <v>#REF!</v>
      </c>
      <c r="AJ4" s="3">
        <v>4</v>
      </c>
      <c r="AQ4" s="44" t="s">
        <v>235</v>
      </c>
      <c r="AR4" s="43" t="s">
        <v>236</v>
      </c>
      <c r="AT4" s="44" t="s">
        <v>237</v>
      </c>
      <c r="AU4" s="42" t="s">
        <v>238</v>
      </c>
      <c r="AW4" s="44" t="s">
        <v>239</v>
      </c>
      <c r="AX4" s="42" t="s">
        <v>240</v>
      </c>
    </row>
    <row r="5" spans="1:57" ht="21" thickBot="1">
      <c r="A5" s="7">
        <f>A4+1</f>
        <v>2</v>
      </c>
      <c r="B5" s="19" t="e">
        <f>#REF!</f>
        <v>#REF!</v>
      </c>
      <c r="C5" s="5" t="e">
        <f>#REF!</f>
        <v>#REF!</v>
      </c>
      <c r="D5" s="5" t="e">
        <f>#REF!</f>
        <v>#REF!</v>
      </c>
      <c r="E5" s="20" t="e">
        <f>#REF!&amp;#REF!&amp;COUNTIF(#REF!,#REF!)</f>
        <v>#REF!</v>
      </c>
      <c r="F5" s="20" t="e">
        <f>#REF!&amp;#REF!&amp;COUNTIF(#REF!,#REF!)</f>
        <v>#REF!</v>
      </c>
      <c r="G5" s="20" t="e">
        <f>#REF!&amp;#REF!&amp;COUNTIF(#REF!,#REF!)</f>
        <v>#REF!</v>
      </c>
      <c r="H5" s="20" t="e">
        <f>#REF!&amp;#REF!&amp;COUNTIF(#REF!,#REF!)</f>
        <v>#REF!</v>
      </c>
      <c r="I5" s="20" t="e">
        <f>#REF!&amp;#REF!&amp;COUNTIF(#REF!,#REF!)</f>
        <v>#REF!</v>
      </c>
      <c r="J5" s="20" t="e">
        <f>#REF!&amp;#REF!&amp;COUNTIF(#REF!,#REF!)</f>
        <v>#REF!</v>
      </c>
      <c r="K5" s="20" t="e">
        <f>#REF!&amp;#REF!&amp;COUNTIF(#REF!,#REF!)</f>
        <v>#REF!</v>
      </c>
      <c r="L5" s="20" t="e">
        <f>#REF!&amp;#REF!&amp;COUNTIF(#REF!,#REF!)</f>
        <v>#REF!</v>
      </c>
      <c r="M5" s="20" t="e">
        <f>#REF!&amp;#REF!&amp;COUNTIF(#REF!,#REF!)</f>
        <v>#REF!</v>
      </c>
      <c r="N5" s="20" t="e">
        <f>#REF!&amp;#REF!&amp;COUNTIF(#REF!,#REF!)</f>
        <v>#REF!</v>
      </c>
      <c r="O5" s="20" t="e">
        <f>#REF!&amp;#REF!&amp;COUNTIF(#REF!,#REF!)</f>
        <v>#REF!</v>
      </c>
      <c r="P5" s="20" t="e">
        <f>#REF!&amp;#REF!&amp;COUNTIF(#REF!,#REF!)</f>
        <v>#REF!</v>
      </c>
      <c r="Q5" s="20" t="e">
        <f>#REF!&amp;#REF!&amp;COUNTIF(#REF!,#REF!)</f>
        <v>#REF!</v>
      </c>
      <c r="R5" s="20" t="e">
        <f>#REF!&amp;#REF!&amp;COUNTIF(#REF!,#REF!)</f>
        <v>#REF!</v>
      </c>
      <c r="S5" s="20" t="e">
        <f>#REF!&amp;#REF!&amp;COUNTIF(#REF!,#REF!)</f>
        <v>#REF!</v>
      </c>
      <c r="T5" s="20" t="e">
        <f>#REF!&amp;#REF!&amp;COUNTIF(#REF!,#REF!)</f>
        <v>#REF!</v>
      </c>
      <c r="U5" s="20" t="e">
        <f>#REF!&amp;#REF!&amp;COUNTIF(#REF!,#REF!)</f>
        <v>#REF!</v>
      </c>
      <c r="V5" s="20" t="e">
        <f>#REF!&amp;#REF!&amp;COUNTIF(#REF!,#REF!)</f>
        <v>#REF!</v>
      </c>
      <c r="W5" s="20" t="e">
        <f>#REF!&amp;#REF!&amp;COUNTIF(#REF!,#REF!)</f>
        <v>#REF!</v>
      </c>
      <c r="X5" s="20" t="e">
        <f>#REF!&amp;#REF!&amp;COUNTIF(#REF!,#REF!)</f>
        <v>#REF!</v>
      </c>
      <c r="Y5" s="20" t="e">
        <f>#REF!&amp;#REF!&amp;COUNTIF(#REF!,#REF!)</f>
        <v>#REF!</v>
      </c>
      <c r="Z5" s="20" t="e">
        <f>#REF!&amp;#REF!&amp;COUNTIF(#REF!,#REF!)</f>
        <v>#REF!</v>
      </c>
      <c r="AA5" s="20" t="e">
        <f>#REF!&amp;#REF!&amp;COUNTIF(#REF!,#REF!)</f>
        <v>#REF!</v>
      </c>
      <c r="AB5" s="20" t="e">
        <f>#REF!&amp;#REF!&amp;COUNTIF(#REF!,#REF!)</f>
        <v>#REF!</v>
      </c>
      <c r="AC5" s="20" t="e">
        <f>#REF!&amp;#REF!&amp;COUNTIF(#REF!,#REF!)</f>
        <v>#REF!</v>
      </c>
      <c r="AD5" s="20" t="e">
        <f>#REF!&amp;#REF!&amp;COUNTIF(#REF!,#REF!)</f>
        <v>#REF!</v>
      </c>
      <c r="AE5" s="20" t="e">
        <f>#REF!&amp;#REF!&amp;COUNTIF(#REF!,#REF!)</f>
        <v>#REF!</v>
      </c>
      <c r="AF5" s="20" t="e">
        <f>#REF!&amp;#REF!&amp;COUNTIF(#REF!,#REF!)</f>
        <v>#REF!</v>
      </c>
      <c r="AG5" s="20" t="e">
        <f>#REF!&amp;#REF!&amp;COUNTIF(#REF!,#REF!)</f>
        <v>#REF!</v>
      </c>
      <c r="AH5" s="20" t="e">
        <f>#REF!&amp;#REF!&amp;COUNTIF(#REF!,#REF!)</f>
        <v>#REF!</v>
      </c>
      <c r="AI5" s="20" t="e">
        <f>#REF!&amp;#REF!&amp;COUNTIF(#REF!,#REF!)</f>
        <v>#REF!</v>
      </c>
      <c r="AJ5" s="3">
        <v>5</v>
      </c>
      <c r="BB5" s="1045" t="s">
        <v>241</v>
      </c>
      <c r="BC5" s="1046"/>
    </row>
    <row r="6" spans="1:57" ht="21" thickBot="1">
      <c r="A6" s="7">
        <f>A5+1</f>
        <v>3</v>
      </c>
      <c r="B6" s="19" t="e">
        <f>#REF!</f>
        <v>#REF!</v>
      </c>
      <c r="C6" s="5" t="e">
        <f>#REF!</f>
        <v>#REF!</v>
      </c>
      <c r="D6" s="5" t="e">
        <f>#REF!</f>
        <v>#REF!</v>
      </c>
      <c r="E6" s="20" t="e">
        <f>#REF!&amp;#REF!&amp;COUNTIF(#REF!,#REF!)</f>
        <v>#REF!</v>
      </c>
      <c r="F6" s="20" t="e">
        <f>#REF!&amp;#REF!&amp;COUNTIF(#REF!,#REF!)</f>
        <v>#REF!</v>
      </c>
      <c r="G6" s="20" t="e">
        <f>#REF!&amp;#REF!&amp;COUNTIF(#REF!,#REF!)</f>
        <v>#REF!</v>
      </c>
      <c r="H6" s="20" t="e">
        <f>#REF!&amp;#REF!&amp;COUNTIF(#REF!,#REF!)</f>
        <v>#REF!</v>
      </c>
      <c r="I6" s="20" t="e">
        <f>#REF!&amp;#REF!&amp;COUNTIF(#REF!,#REF!)</f>
        <v>#REF!</v>
      </c>
      <c r="J6" s="20" t="e">
        <f>#REF!&amp;#REF!&amp;COUNTIF(#REF!,#REF!)</f>
        <v>#REF!</v>
      </c>
      <c r="K6" s="20" t="e">
        <f>#REF!&amp;#REF!&amp;COUNTIF(#REF!,#REF!)</f>
        <v>#REF!</v>
      </c>
      <c r="L6" s="20" t="e">
        <f>#REF!&amp;#REF!&amp;COUNTIF(#REF!,#REF!)</f>
        <v>#REF!</v>
      </c>
      <c r="M6" s="20" t="e">
        <f>#REF!&amp;#REF!&amp;COUNTIF(#REF!,#REF!)</f>
        <v>#REF!</v>
      </c>
      <c r="N6" s="20" t="e">
        <f>#REF!&amp;#REF!&amp;COUNTIF(#REF!,#REF!)</f>
        <v>#REF!</v>
      </c>
      <c r="O6" s="20" t="e">
        <f>#REF!&amp;#REF!&amp;COUNTIF(#REF!,#REF!)</f>
        <v>#REF!</v>
      </c>
      <c r="P6" s="20" t="e">
        <f>#REF!&amp;#REF!&amp;COUNTIF(#REF!,#REF!)</f>
        <v>#REF!</v>
      </c>
      <c r="Q6" s="20" t="e">
        <f>#REF!&amp;#REF!&amp;COUNTIF(#REF!,#REF!)</f>
        <v>#REF!</v>
      </c>
      <c r="R6" s="20" t="e">
        <f>#REF!&amp;#REF!&amp;COUNTIF(#REF!,#REF!)</f>
        <v>#REF!</v>
      </c>
      <c r="S6" s="20" t="e">
        <f>#REF!&amp;#REF!&amp;COUNTIF(#REF!,#REF!)</f>
        <v>#REF!</v>
      </c>
      <c r="T6" s="20" t="e">
        <f>#REF!&amp;#REF!&amp;COUNTIF(#REF!,#REF!)</f>
        <v>#REF!</v>
      </c>
      <c r="U6" s="20" t="e">
        <f>#REF!&amp;#REF!&amp;COUNTIF(#REF!,#REF!)</f>
        <v>#REF!</v>
      </c>
      <c r="V6" s="20" t="e">
        <f>#REF!&amp;#REF!&amp;COUNTIF(#REF!,#REF!)</f>
        <v>#REF!</v>
      </c>
      <c r="W6" s="20" t="e">
        <f>#REF!&amp;#REF!&amp;COUNTIF(#REF!,#REF!)</f>
        <v>#REF!</v>
      </c>
      <c r="X6" s="20" t="e">
        <f>#REF!&amp;#REF!&amp;COUNTIF(#REF!,#REF!)</f>
        <v>#REF!</v>
      </c>
      <c r="Y6" s="20" t="e">
        <f>#REF!&amp;#REF!&amp;COUNTIF(#REF!,#REF!)</f>
        <v>#REF!</v>
      </c>
      <c r="Z6" s="20" t="e">
        <f>#REF!&amp;#REF!&amp;COUNTIF(#REF!,#REF!)</f>
        <v>#REF!</v>
      </c>
      <c r="AA6" s="20" t="e">
        <f>#REF!&amp;#REF!&amp;COUNTIF(#REF!,#REF!)</f>
        <v>#REF!</v>
      </c>
      <c r="AB6" s="20" t="e">
        <f>#REF!&amp;#REF!&amp;COUNTIF(#REF!,#REF!)</f>
        <v>#REF!</v>
      </c>
      <c r="AC6" s="20" t="e">
        <f>#REF!&amp;#REF!&amp;COUNTIF(#REF!,#REF!)</f>
        <v>#REF!</v>
      </c>
      <c r="AD6" s="20" t="e">
        <f>#REF!&amp;#REF!&amp;COUNTIF(#REF!,#REF!)</f>
        <v>#REF!</v>
      </c>
      <c r="AE6" s="20" t="e">
        <f>#REF!&amp;#REF!&amp;COUNTIF(#REF!,#REF!)</f>
        <v>#REF!</v>
      </c>
      <c r="AF6" s="20" t="e">
        <f>#REF!&amp;#REF!&amp;COUNTIF(#REF!,#REF!)</f>
        <v>#REF!</v>
      </c>
      <c r="AG6" s="20" t="e">
        <f>#REF!&amp;#REF!&amp;COUNTIF(#REF!,#REF!)</f>
        <v>#REF!</v>
      </c>
      <c r="AH6" s="20" t="e">
        <f>#REF!&amp;#REF!&amp;COUNTIF(#REF!,#REF!)</f>
        <v>#REF!</v>
      </c>
      <c r="AI6" s="20" t="e">
        <f>#REF!&amp;#REF!&amp;COUNTIF(#REF!,#REF!)</f>
        <v>#REF!</v>
      </c>
      <c r="AJ6" s="3">
        <v>6</v>
      </c>
      <c r="AM6" s="55" t="s">
        <v>242</v>
      </c>
      <c r="AN6" s="55" t="s">
        <v>243</v>
      </c>
      <c r="AO6" s="56"/>
      <c r="AP6" s="56"/>
      <c r="AQ6" s="56"/>
      <c r="AR6" s="55" t="s">
        <v>244</v>
      </c>
      <c r="AS6" s="56"/>
      <c r="AT6" s="56"/>
      <c r="AU6" s="56"/>
      <c r="AV6" s="56"/>
      <c r="AW6" s="56"/>
      <c r="AX6" s="56"/>
      <c r="AY6" s="56"/>
      <c r="AZ6" s="56"/>
      <c r="BA6" s="57"/>
      <c r="BB6" s="68" t="s">
        <v>245</v>
      </c>
      <c r="BC6" s="69" t="s">
        <v>246</v>
      </c>
    </row>
    <row r="7" spans="1:57" ht="15" customHeight="1" thickBot="1">
      <c r="A7" s="7">
        <f t="shared" ref="A7:A18" si="0">A6+1</f>
        <v>4</v>
      </c>
      <c r="B7" s="19" t="e">
        <f>#REF!</f>
        <v>#REF!</v>
      </c>
      <c r="C7" s="5" t="e">
        <f>#REF!</f>
        <v>#REF!</v>
      </c>
      <c r="D7" s="5" t="e">
        <f>#REF!</f>
        <v>#REF!</v>
      </c>
      <c r="E7" s="20" t="e">
        <f>#REF!&amp;#REF!&amp;COUNTIF(#REF!,#REF!)</f>
        <v>#REF!</v>
      </c>
      <c r="F7" s="20" t="e">
        <f>#REF!&amp;#REF!&amp;COUNTIF(#REF!,#REF!)</f>
        <v>#REF!</v>
      </c>
      <c r="G7" s="20" t="e">
        <f>#REF!&amp;#REF!&amp;COUNTIF(#REF!,#REF!)</f>
        <v>#REF!</v>
      </c>
      <c r="H7" s="20" t="e">
        <f>#REF!&amp;#REF!&amp;COUNTIF(#REF!,#REF!)</f>
        <v>#REF!</v>
      </c>
      <c r="I7" s="20" t="e">
        <f>#REF!&amp;#REF!&amp;COUNTIF(#REF!,#REF!)</f>
        <v>#REF!</v>
      </c>
      <c r="J7" s="20" t="e">
        <f>#REF!&amp;#REF!&amp;COUNTIF(#REF!,#REF!)</f>
        <v>#REF!</v>
      </c>
      <c r="K7" s="20" t="e">
        <f>#REF!&amp;#REF!&amp;COUNTIF(#REF!,#REF!)</f>
        <v>#REF!</v>
      </c>
      <c r="L7" s="20" t="e">
        <f>#REF!&amp;#REF!&amp;COUNTIF(#REF!,#REF!)</f>
        <v>#REF!</v>
      </c>
      <c r="M7" s="20" t="e">
        <f>#REF!&amp;#REF!&amp;COUNTIF(#REF!,#REF!)</f>
        <v>#REF!</v>
      </c>
      <c r="N7" s="20" t="e">
        <f>#REF!&amp;#REF!&amp;COUNTIF(#REF!,#REF!)</f>
        <v>#REF!</v>
      </c>
      <c r="O7" s="20" t="e">
        <f>#REF!&amp;#REF!&amp;COUNTIF(#REF!,#REF!)</f>
        <v>#REF!</v>
      </c>
      <c r="P7" s="20" t="e">
        <f>#REF!&amp;#REF!&amp;COUNTIF(#REF!,#REF!)</f>
        <v>#REF!</v>
      </c>
      <c r="Q7" s="20" t="e">
        <f>#REF!&amp;#REF!&amp;COUNTIF(#REF!,#REF!)</f>
        <v>#REF!</v>
      </c>
      <c r="R7" s="20" t="e">
        <f>#REF!&amp;#REF!&amp;COUNTIF(#REF!,#REF!)</f>
        <v>#REF!</v>
      </c>
      <c r="S7" s="20" t="e">
        <f>#REF!&amp;#REF!&amp;COUNTIF(#REF!,#REF!)</f>
        <v>#REF!</v>
      </c>
      <c r="T7" s="20" t="e">
        <f>#REF!&amp;#REF!&amp;COUNTIF(#REF!,#REF!)</f>
        <v>#REF!</v>
      </c>
      <c r="U7" s="20" t="e">
        <f>#REF!&amp;#REF!&amp;COUNTIF(#REF!,#REF!)</f>
        <v>#REF!</v>
      </c>
      <c r="V7" s="20" t="e">
        <f>#REF!&amp;#REF!&amp;COUNTIF(#REF!,#REF!)</f>
        <v>#REF!</v>
      </c>
      <c r="W7" s="20" t="e">
        <f>#REF!&amp;#REF!&amp;COUNTIF(#REF!,#REF!)</f>
        <v>#REF!</v>
      </c>
      <c r="X7" s="20" t="e">
        <f>#REF!&amp;#REF!&amp;COUNTIF(#REF!,#REF!)</f>
        <v>#REF!</v>
      </c>
      <c r="Y7" s="20" t="e">
        <f>#REF!&amp;#REF!&amp;COUNTIF(#REF!,#REF!)</f>
        <v>#REF!</v>
      </c>
      <c r="Z7" s="20" t="e">
        <f>#REF!&amp;#REF!&amp;COUNTIF(#REF!,#REF!)</f>
        <v>#REF!</v>
      </c>
      <c r="AA7" s="20" t="e">
        <f>#REF!&amp;#REF!&amp;COUNTIF(#REF!,#REF!)</f>
        <v>#REF!</v>
      </c>
      <c r="AB7" s="20" t="e">
        <f>#REF!&amp;#REF!&amp;COUNTIF(#REF!,#REF!)</f>
        <v>#REF!</v>
      </c>
      <c r="AC7" s="20" t="e">
        <f>#REF!&amp;#REF!&amp;COUNTIF(#REF!,#REF!)</f>
        <v>#REF!</v>
      </c>
      <c r="AD7" s="20" t="e">
        <f>#REF!&amp;#REF!&amp;COUNTIF(#REF!,#REF!)</f>
        <v>#REF!</v>
      </c>
      <c r="AE7" s="20" t="e">
        <f>#REF!&amp;#REF!&amp;COUNTIF(#REF!,#REF!)</f>
        <v>#REF!</v>
      </c>
      <c r="AF7" s="20" t="e">
        <f>#REF!&amp;#REF!&amp;COUNTIF(#REF!,#REF!)</f>
        <v>#REF!</v>
      </c>
      <c r="AG7" s="20" t="e">
        <f>#REF!&amp;#REF!&amp;COUNTIF(#REF!,#REF!)</f>
        <v>#REF!</v>
      </c>
      <c r="AH7" s="20" t="e">
        <f>#REF!&amp;#REF!&amp;COUNTIF(#REF!,#REF!)</f>
        <v>#REF!</v>
      </c>
      <c r="AI7" s="20" t="e">
        <f>#REF!&amp;#REF!&amp;COUNTIF(#REF!,#REF!)</f>
        <v>#REF!</v>
      </c>
      <c r="AJ7" s="3">
        <v>7</v>
      </c>
      <c r="AM7" s="55"/>
      <c r="AN7" s="55"/>
      <c r="AO7" s="56"/>
      <c r="AP7" s="56"/>
      <c r="AQ7" s="56"/>
      <c r="AR7" s="55"/>
      <c r="AS7" s="56"/>
      <c r="AT7" s="56"/>
      <c r="AU7" s="56"/>
      <c r="AV7" s="56"/>
      <c r="AW7" s="56"/>
      <c r="AX7" s="56"/>
      <c r="AY7" s="56"/>
      <c r="AZ7" s="56"/>
      <c r="BA7" s="57"/>
      <c r="BB7" s="70"/>
      <c r="BC7" s="70"/>
    </row>
    <row r="8" spans="1:57" ht="20.25">
      <c r="A8" s="7">
        <f t="shared" si="0"/>
        <v>5</v>
      </c>
      <c r="B8" s="19" t="e">
        <f>#REF!</f>
        <v>#REF!</v>
      </c>
      <c r="C8" s="5" t="e">
        <f>#REF!</f>
        <v>#REF!</v>
      </c>
      <c r="D8" s="5" t="e">
        <f>#REF!</f>
        <v>#REF!</v>
      </c>
      <c r="E8" s="20" t="e">
        <f>#REF!&amp;#REF!&amp;COUNTIF(#REF!,#REF!)</f>
        <v>#REF!</v>
      </c>
      <c r="F8" s="20" t="e">
        <f>#REF!&amp;#REF!&amp;COUNTIF(#REF!,#REF!)</f>
        <v>#REF!</v>
      </c>
      <c r="G8" s="20" t="e">
        <f>#REF!&amp;#REF!&amp;COUNTIF(#REF!,#REF!)</f>
        <v>#REF!</v>
      </c>
      <c r="H8" s="20" t="e">
        <f>#REF!&amp;#REF!&amp;COUNTIF(#REF!,#REF!)</f>
        <v>#REF!</v>
      </c>
      <c r="I8" s="20" t="e">
        <f>#REF!&amp;#REF!&amp;COUNTIF(#REF!,#REF!)</f>
        <v>#REF!</v>
      </c>
      <c r="J8" s="20" t="e">
        <f>#REF!&amp;#REF!&amp;COUNTIF(#REF!,#REF!)</f>
        <v>#REF!</v>
      </c>
      <c r="K8" s="20" t="e">
        <f>#REF!&amp;#REF!&amp;COUNTIF(#REF!,#REF!)</f>
        <v>#REF!</v>
      </c>
      <c r="L8" s="20" t="e">
        <f>#REF!&amp;#REF!&amp;COUNTIF(#REF!,#REF!)</f>
        <v>#REF!</v>
      </c>
      <c r="M8" s="20" t="e">
        <f>#REF!&amp;#REF!&amp;COUNTIF(#REF!,#REF!)</f>
        <v>#REF!</v>
      </c>
      <c r="N8" s="20" t="e">
        <f>#REF!&amp;#REF!&amp;COUNTIF(#REF!,#REF!)</f>
        <v>#REF!</v>
      </c>
      <c r="O8" s="20" t="e">
        <f>#REF!&amp;#REF!&amp;COUNTIF(#REF!,#REF!)</f>
        <v>#REF!</v>
      </c>
      <c r="P8" s="20" t="e">
        <f>#REF!&amp;#REF!&amp;COUNTIF(#REF!,#REF!)</f>
        <v>#REF!</v>
      </c>
      <c r="Q8" s="20" t="e">
        <f>#REF!&amp;#REF!&amp;COUNTIF(#REF!,#REF!)</f>
        <v>#REF!</v>
      </c>
      <c r="R8" s="20" t="e">
        <f>#REF!&amp;#REF!&amp;COUNTIF(#REF!,#REF!)</f>
        <v>#REF!</v>
      </c>
      <c r="S8" s="20" t="e">
        <f>#REF!&amp;#REF!&amp;COUNTIF(#REF!,#REF!)</f>
        <v>#REF!</v>
      </c>
      <c r="T8" s="20" t="e">
        <f>#REF!&amp;#REF!&amp;COUNTIF(#REF!,#REF!)</f>
        <v>#REF!</v>
      </c>
      <c r="U8" s="20" t="e">
        <f>#REF!&amp;#REF!&amp;COUNTIF(#REF!,#REF!)</f>
        <v>#REF!</v>
      </c>
      <c r="V8" s="20" t="e">
        <f>#REF!&amp;#REF!&amp;COUNTIF(#REF!,#REF!)</f>
        <v>#REF!</v>
      </c>
      <c r="W8" s="20" t="e">
        <f>#REF!&amp;#REF!&amp;COUNTIF(#REF!,#REF!)</f>
        <v>#REF!</v>
      </c>
      <c r="X8" s="20" t="e">
        <f>#REF!&amp;#REF!&amp;COUNTIF(#REF!,#REF!)</f>
        <v>#REF!</v>
      </c>
      <c r="Y8" s="20" t="e">
        <f>#REF!&amp;#REF!&amp;COUNTIF(#REF!,#REF!)</f>
        <v>#REF!</v>
      </c>
      <c r="Z8" s="20" t="e">
        <f>#REF!&amp;#REF!&amp;COUNTIF(#REF!,#REF!)</f>
        <v>#REF!</v>
      </c>
      <c r="AA8" s="20" t="e">
        <f>#REF!&amp;#REF!&amp;COUNTIF(#REF!,#REF!)</f>
        <v>#REF!</v>
      </c>
      <c r="AB8" s="20" t="e">
        <f>#REF!&amp;#REF!&amp;COUNTIF(#REF!,#REF!)</f>
        <v>#REF!</v>
      </c>
      <c r="AC8" s="20" t="e">
        <f>#REF!&amp;#REF!&amp;COUNTIF(#REF!,#REF!)</f>
        <v>#REF!</v>
      </c>
      <c r="AD8" s="20" t="e">
        <f>#REF!&amp;#REF!&amp;COUNTIF(#REF!,#REF!)</f>
        <v>#REF!</v>
      </c>
      <c r="AE8" s="20" t="e">
        <f>#REF!&amp;#REF!&amp;COUNTIF(#REF!,#REF!)</f>
        <v>#REF!</v>
      </c>
      <c r="AF8" s="20" t="e">
        <f>#REF!&amp;#REF!&amp;COUNTIF(#REF!,#REF!)</f>
        <v>#REF!</v>
      </c>
      <c r="AG8" s="20" t="e">
        <f>#REF!&amp;#REF!&amp;COUNTIF(#REF!,#REF!)</f>
        <v>#REF!</v>
      </c>
      <c r="AH8" s="20" t="e">
        <f>#REF!&amp;#REF!&amp;COUNTIF(#REF!,#REF!)</f>
        <v>#REF!</v>
      </c>
      <c r="AI8" s="20" t="e">
        <f>#REF!&amp;#REF!&amp;COUNTIF(#REF!,#REF!)</f>
        <v>#REF!</v>
      </c>
      <c r="AJ8" s="3">
        <v>8</v>
      </c>
      <c r="AM8" s="39"/>
      <c r="AN8" s="40"/>
      <c r="AO8" s="36"/>
      <c r="AP8" s="45" t="s">
        <v>247</v>
      </c>
      <c r="AQ8" s="37" t="s">
        <v>248</v>
      </c>
      <c r="AR8" s="37" t="s">
        <v>249</v>
      </c>
      <c r="AS8" s="45" t="s">
        <v>250</v>
      </c>
      <c r="AT8" s="37" t="s">
        <v>251</v>
      </c>
      <c r="AU8" s="37" t="s">
        <v>252</v>
      </c>
      <c r="AV8" s="45" t="s">
        <v>253</v>
      </c>
      <c r="AW8" s="37" t="s">
        <v>254</v>
      </c>
      <c r="AX8" s="38" t="s">
        <v>255</v>
      </c>
      <c r="AZ8" s="35" t="str">
        <f>$AN$3&amp;" Total"</f>
        <v>7/2021 Total</v>
      </c>
      <c r="BA8" s="47"/>
      <c r="BB8" s="66" t="str">
        <f>IF(COUNTBLANK(AP9:AX9)=9,"","Leave")</f>
        <v/>
      </c>
      <c r="BC8" s="66" t="str">
        <f>IFERROR(VLOOKUP(AM9,#REF!,4,FALSE),"")</f>
        <v/>
      </c>
      <c r="BD8" s="58" t="s">
        <v>256</v>
      </c>
    </row>
    <row r="9" spans="1:57" ht="20.25">
      <c r="A9" s="7">
        <f t="shared" si="0"/>
        <v>6</v>
      </c>
      <c r="B9" s="19" t="e">
        <f>#REF!</f>
        <v>#REF!</v>
      </c>
      <c r="C9" s="5" t="e">
        <f>#REF!</f>
        <v>#REF!</v>
      </c>
      <c r="D9" s="5" t="e">
        <f>#REF!</f>
        <v>#REF!</v>
      </c>
      <c r="E9" s="20" t="e">
        <f>#REF!&amp;#REF!&amp;COUNTIF(#REF!,#REF!)</f>
        <v>#REF!</v>
      </c>
      <c r="F9" s="20" t="e">
        <f>#REF!&amp;#REF!&amp;COUNTIF(#REF!,#REF!)</f>
        <v>#REF!</v>
      </c>
      <c r="G9" s="20" t="e">
        <f>#REF!&amp;#REF!&amp;COUNTIF(#REF!,#REF!)</f>
        <v>#REF!</v>
      </c>
      <c r="H9" s="20" t="e">
        <f>#REF!&amp;#REF!&amp;COUNTIF(#REF!,#REF!)</f>
        <v>#REF!</v>
      </c>
      <c r="I9" s="20" t="e">
        <f>#REF!&amp;#REF!&amp;COUNTIF(#REF!,#REF!)</f>
        <v>#REF!</v>
      </c>
      <c r="J9" s="20" t="e">
        <f>#REF!&amp;#REF!&amp;COUNTIF(#REF!,#REF!)</f>
        <v>#REF!</v>
      </c>
      <c r="K9" s="20" t="e">
        <f>#REF!&amp;#REF!&amp;COUNTIF(#REF!,#REF!)</f>
        <v>#REF!</v>
      </c>
      <c r="L9" s="20" t="e">
        <f>#REF!&amp;#REF!&amp;COUNTIF(#REF!,#REF!)</f>
        <v>#REF!</v>
      </c>
      <c r="M9" s="20" t="e">
        <f>#REF!&amp;#REF!&amp;COUNTIF(#REF!,#REF!)</f>
        <v>#REF!</v>
      </c>
      <c r="N9" s="20" t="e">
        <f>#REF!&amp;#REF!&amp;COUNTIF(#REF!,#REF!)</f>
        <v>#REF!</v>
      </c>
      <c r="O9" s="20" t="e">
        <f>#REF!&amp;#REF!&amp;COUNTIF(#REF!,#REF!)</f>
        <v>#REF!</v>
      </c>
      <c r="P9" s="20" t="e">
        <f>#REF!&amp;#REF!&amp;COUNTIF(#REF!,#REF!)</f>
        <v>#REF!</v>
      </c>
      <c r="Q9" s="20" t="e">
        <f>#REF!&amp;#REF!&amp;COUNTIF(#REF!,#REF!)</f>
        <v>#REF!</v>
      </c>
      <c r="R9" s="20" t="e">
        <f>#REF!&amp;#REF!&amp;COUNTIF(#REF!,#REF!)</f>
        <v>#REF!</v>
      </c>
      <c r="S9" s="20" t="e">
        <f>#REF!&amp;#REF!&amp;COUNTIF(#REF!,#REF!)</f>
        <v>#REF!</v>
      </c>
      <c r="T9" s="20" t="e">
        <f>#REF!&amp;#REF!&amp;COUNTIF(#REF!,#REF!)</f>
        <v>#REF!</v>
      </c>
      <c r="U9" s="20" t="e">
        <f>#REF!&amp;#REF!&amp;COUNTIF(#REF!,#REF!)</f>
        <v>#REF!</v>
      </c>
      <c r="V9" s="20" t="e">
        <f>#REF!&amp;#REF!&amp;COUNTIF(#REF!,#REF!)</f>
        <v>#REF!</v>
      </c>
      <c r="W9" s="20" t="e">
        <f>#REF!&amp;#REF!&amp;COUNTIF(#REF!,#REF!)</f>
        <v>#REF!</v>
      </c>
      <c r="X9" s="20" t="e">
        <f>#REF!&amp;#REF!&amp;COUNTIF(#REF!,#REF!)</f>
        <v>#REF!</v>
      </c>
      <c r="Y9" s="20" t="e">
        <f>#REF!&amp;#REF!&amp;COUNTIF(#REF!,#REF!)</f>
        <v>#REF!</v>
      </c>
      <c r="Z9" s="20" t="e">
        <f>#REF!&amp;#REF!&amp;COUNTIF(#REF!,#REF!)</f>
        <v>#REF!</v>
      </c>
      <c r="AA9" s="20" t="e">
        <f>#REF!&amp;#REF!&amp;COUNTIF(#REF!,#REF!)</f>
        <v>#REF!</v>
      </c>
      <c r="AB9" s="20" t="e">
        <f>#REF!&amp;#REF!&amp;COUNTIF(#REF!,#REF!)</f>
        <v>#REF!</v>
      </c>
      <c r="AC9" s="20" t="e">
        <f>#REF!&amp;#REF!&amp;COUNTIF(#REF!,#REF!)</f>
        <v>#REF!</v>
      </c>
      <c r="AD9" s="20" t="e">
        <f>#REF!&amp;#REF!&amp;COUNTIF(#REF!,#REF!)</f>
        <v>#REF!</v>
      </c>
      <c r="AE9" s="20" t="e">
        <f>#REF!&amp;#REF!&amp;COUNTIF(#REF!,#REF!)</f>
        <v>#REF!</v>
      </c>
      <c r="AF9" s="20" t="e">
        <f>#REF!&amp;#REF!&amp;COUNTIF(#REF!,#REF!)</f>
        <v>#REF!</v>
      </c>
      <c r="AG9" s="20" t="e">
        <f>#REF!&amp;#REF!&amp;COUNTIF(#REF!,#REF!)</f>
        <v>#REF!</v>
      </c>
      <c r="AH9" s="20" t="e">
        <f>#REF!&amp;#REF!&amp;COUNTIF(#REF!,#REF!)</f>
        <v>#REF!</v>
      </c>
      <c r="AI9" s="20" t="e">
        <f>#REF!&amp;#REF!&amp;COUNTIF(#REF!,#REF!)</f>
        <v>#REF!</v>
      </c>
      <c r="AJ9" s="3">
        <v>9</v>
      </c>
      <c r="AM9" s="25" t="e">
        <f>B4</f>
        <v>#REF!</v>
      </c>
      <c r="AN9" s="34" t="e">
        <f>D4</f>
        <v>#REF!</v>
      </c>
      <c r="AP9" s="46" t="str">
        <f t="shared" ref="AP9:AU14" si="1">IFERROR(INDEX($E$3:$AI$3,MATCH($AN9&amp;AP$8&amp;ROW(A1),$E$4:$AI$4,0))&amp;"/"&amp;$AN$3,"")</f>
        <v/>
      </c>
      <c r="AQ9" s="31" t="str">
        <f t="shared" si="1"/>
        <v/>
      </c>
      <c r="AR9" s="31" t="str">
        <f t="shared" si="1"/>
        <v/>
      </c>
      <c r="AS9" s="46" t="str">
        <f t="shared" si="1"/>
        <v/>
      </c>
      <c r="AT9" s="31" t="str">
        <f t="shared" si="1"/>
        <v/>
      </c>
      <c r="AU9" s="31" t="str">
        <f t="shared" si="1"/>
        <v/>
      </c>
      <c r="AV9" s="46" t="str">
        <f t="shared" ref="AV9:AX14" si="2">IFERROR(INDEX($E$3:$AI$3,MATCH($AN9&amp;AV$8&amp;ROW(G1),$E$4:$AI$4,0))&amp;"/"&amp;$AN$3,"")</f>
        <v/>
      </c>
      <c r="AW9" s="31" t="str">
        <f t="shared" si="2"/>
        <v/>
      </c>
      <c r="AX9" s="32" t="str">
        <f t="shared" si="2"/>
        <v/>
      </c>
      <c r="AZ9" s="48" t="s">
        <v>257</v>
      </c>
      <c r="BA9" s="49">
        <f>COUNTA(AP9:AP18)-COUNTBLANK(AP9:AP18)+(COUNTA(AQ9:AQ18)-COUNTBLANK(AQ9:AQ18))*0.5+(COUNTA(AR9:AR18)-COUNTBLANK(AR9:AR18))*0.5</f>
        <v>0</v>
      </c>
      <c r="BB9" s="67" t="str">
        <f>IF(COUNTBLANK(AP9:AX9)=9,"","Leave")</f>
        <v/>
      </c>
      <c r="BC9" s="67" t="str">
        <f>BC8</f>
        <v/>
      </c>
      <c r="BD9" s="59" t="str">
        <f t="shared" ref="BD9:BD14" si="3">IFERROR(INDEX($E$3:$AI$3,MATCH($AN9&amp;BD$8&amp;ROW(K1),$E$4:$AI$4,0))&amp;"/"&amp;$AN$3,"")</f>
        <v/>
      </c>
      <c r="BE9" s="50"/>
    </row>
    <row r="10" spans="1:57" ht="21.75" customHeight="1">
      <c r="A10" s="7">
        <f t="shared" si="0"/>
        <v>7</v>
      </c>
      <c r="B10" s="19" t="e">
        <f>#REF!</f>
        <v>#REF!</v>
      </c>
      <c r="C10" s="5" t="e">
        <f>#REF!</f>
        <v>#REF!</v>
      </c>
      <c r="D10" s="5" t="e">
        <f>#REF!</f>
        <v>#REF!</v>
      </c>
      <c r="E10" s="20" t="e">
        <f>#REF!&amp;#REF!&amp;COUNTIF(#REF!,#REF!)</f>
        <v>#REF!</v>
      </c>
      <c r="F10" s="20" t="e">
        <f>#REF!&amp;#REF!&amp;COUNTIF(#REF!,#REF!)</f>
        <v>#REF!</v>
      </c>
      <c r="G10" s="20" t="e">
        <f>#REF!&amp;#REF!&amp;COUNTIF(#REF!,#REF!)</f>
        <v>#REF!</v>
      </c>
      <c r="H10" s="20" t="e">
        <f>#REF!&amp;#REF!&amp;COUNTIF(#REF!,#REF!)</f>
        <v>#REF!</v>
      </c>
      <c r="I10" s="20" t="e">
        <f>#REF!&amp;#REF!&amp;COUNTIF(#REF!,#REF!)</f>
        <v>#REF!</v>
      </c>
      <c r="J10" s="20" t="e">
        <f>#REF!&amp;#REF!&amp;COUNTIF(#REF!,#REF!)</f>
        <v>#REF!</v>
      </c>
      <c r="K10" s="20" t="e">
        <f>#REF!&amp;#REF!&amp;COUNTIF(#REF!,#REF!)</f>
        <v>#REF!</v>
      </c>
      <c r="L10" s="20" t="e">
        <f>#REF!&amp;#REF!&amp;COUNTIF(#REF!,#REF!)</f>
        <v>#REF!</v>
      </c>
      <c r="M10" s="20" t="e">
        <f>#REF!&amp;#REF!&amp;COUNTIF(#REF!,#REF!)</f>
        <v>#REF!</v>
      </c>
      <c r="N10" s="20" t="e">
        <f>#REF!&amp;#REF!&amp;COUNTIF(#REF!,#REF!)</f>
        <v>#REF!</v>
      </c>
      <c r="O10" s="20" t="e">
        <f>#REF!&amp;#REF!&amp;COUNTIF(#REF!,#REF!)</f>
        <v>#REF!</v>
      </c>
      <c r="P10" s="20" t="e">
        <f>#REF!&amp;#REF!&amp;COUNTIF(#REF!,#REF!)</f>
        <v>#REF!</v>
      </c>
      <c r="Q10" s="20" t="e">
        <f>#REF!&amp;#REF!&amp;COUNTIF(#REF!,#REF!)</f>
        <v>#REF!</v>
      </c>
      <c r="R10" s="20" t="e">
        <f>#REF!&amp;#REF!&amp;COUNTIF(#REF!,#REF!)</f>
        <v>#REF!</v>
      </c>
      <c r="S10" s="20" t="e">
        <f>#REF!&amp;#REF!&amp;COUNTIF(#REF!,#REF!)</f>
        <v>#REF!</v>
      </c>
      <c r="T10" s="20" t="e">
        <f>#REF!&amp;#REF!&amp;COUNTIF(#REF!,#REF!)</f>
        <v>#REF!</v>
      </c>
      <c r="U10" s="20" t="e">
        <f>#REF!&amp;#REF!&amp;COUNTIF(#REF!,#REF!)</f>
        <v>#REF!</v>
      </c>
      <c r="V10" s="20" t="e">
        <f>#REF!&amp;#REF!&amp;COUNTIF(#REF!,#REF!)</f>
        <v>#REF!</v>
      </c>
      <c r="W10" s="20" t="e">
        <f>#REF!&amp;#REF!&amp;COUNTIF(#REF!,#REF!)</f>
        <v>#REF!</v>
      </c>
      <c r="X10" s="20" t="e">
        <f>#REF!&amp;#REF!&amp;COUNTIF(#REF!,#REF!)</f>
        <v>#REF!</v>
      </c>
      <c r="Y10" s="20" t="e">
        <f>#REF!&amp;#REF!&amp;COUNTIF(#REF!,#REF!)</f>
        <v>#REF!</v>
      </c>
      <c r="Z10" s="20" t="e">
        <f>#REF!&amp;#REF!&amp;COUNTIF(#REF!,#REF!)</f>
        <v>#REF!</v>
      </c>
      <c r="AA10" s="20" t="e">
        <f>#REF!&amp;#REF!&amp;COUNTIF(#REF!,#REF!)</f>
        <v>#REF!</v>
      </c>
      <c r="AB10" s="20" t="e">
        <f>#REF!&amp;#REF!&amp;COUNTIF(#REF!,#REF!)</f>
        <v>#REF!</v>
      </c>
      <c r="AC10" s="20" t="e">
        <f>#REF!&amp;#REF!&amp;COUNTIF(#REF!,#REF!)</f>
        <v>#REF!</v>
      </c>
      <c r="AD10" s="20" t="e">
        <f>#REF!&amp;#REF!&amp;COUNTIF(#REF!,#REF!)</f>
        <v>#REF!</v>
      </c>
      <c r="AE10" s="20" t="e">
        <f>#REF!&amp;#REF!&amp;COUNTIF(#REF!,#REF!)</f>
        <v>#REF!</v>
      </c>
      <c r="AF10" s="20" t="e">
        <f>#REF!&amp;#REF!&amp;COUNTIF(#REF!,#REF!)</f>
        <v>#REF!</v>
      </c>
      <c r="AG10" s="20" t="e">
        <f>#REF!&amp;#REF!&amp;COUNTIF(#REF!,#REF!)</f>
        <v>#REF!</v>
      </c>
      <c r="AH10" s="20" t="e">
        <f>#REF!&amp;#REF!&amp;COUNTIF(#REF!,#REF!)</f>
        <v>#REF!</v>
      </c>
      <c r="AI10" s="20" t="e">
        <f>#REF!&amp;#REF!&amp;COUNTIF(#REF!,#REF!)</f>
        <v>#REF!</v>
      </c>
      <c r="AJ10" s="3">
        <v>10</v>
      </c>
      <c r="AM10" s="30" t="e">
        <f t="shared" ref="AM10:AM17" si="4">AM9</f>
        <v>#REF!</v>
      </c>
      <c r="AN10" s="27" t="e">
        <f>AN9</f>
        <v>#REF!</v>
      </c>
      <c r="AP10" s="46" t="str">
        <f t="shared" si="1"/>
        <v/>
      </c>
      <c r="AQ10" s="31" t="str">
        <f t="shared" si="1"/>
        <v/>
      </c>
      <c r="AR10" s="31" t="str">
        <f t="shared" si="1"/>
        <v/>
      </c>
      <c r="AS10" s="46" t="str">
        <f t="shared" si="1"/>
        <v/>
      </c>
      <c r="AT10" s="31" t="str">
        <f t="shared" si="1"/>
        <v/>
      </c>
      <c r="AU10" s="31" t="str">
        <f t="shared" si="1"/>
        <v/>
      </c>
      <c r="AV10" s="46" t="str">
        <f t="shared" si="2"/>
        <v/>
      </c>
      <c r="AW10" s="31" t="str">
        <f t="shared" si="2"/>
        <v/>
      </c>
      <c r="AX10" s="32" t="str">
        <f t="shared" si="2"/>
        <v/>
      </c>
      <c r="AZ10" s="48" t="s">
        <v>258</v>
      </c>
      <c r="BA10" s="49">
        <f>COUNTA(AS9:AS18)-COUNTBLANK(AS9:AS18)+(COUNTA(AT9:AT18)-COUNTBLANK(AT9:AT18))*0.5+(COUNTA(AU9:AU18)-COUNTBLANK(AU9:AU18))*0.5</f>
        <v>0</v>
      </c>
      <c r="BB10" s="67" t="str">
        <f t="shared" ref="BB10:BB18" si="5">BB9</f>
        <v/>
      </c>
      <c r="BC10" s="67" t="str">
        <f t="shared" ref="BC10:BC18" si="6">BC9</f>
        <v/>
      </c>
      <c r="BD10" s="60" t="str">
        <f t="shared" si="3"/>
        <v/>
      </c>
    </row>
    <row r="11" spans="1:57" ht="20.25">
      <c r="A11" s="7">
        <f t="shared" si="0"/>
        <v>8</v>
      </c>
      <c r="B11" s="19" t="e">
        <f>#REF!</f>
        <v>#REF!</v>
      </c>
      <c r="C11" s="5" t="e">
        <f>#REF!</f>
        <v>#REF!</v>
      </c>
      <c r="D11" s="5" t="e">
        <f>#REF!</f>
        <v>#REF!</v>
      </c>
      <c r="E11" s="20" t="e">
        <f>#REF!&amp;#REF!&amp;COUNTIF(#REF!,#REF!)</f>
        <v>#REF!</v>
      </c>
      <c r="F11" s="20" t="e">
        <f>#REF!&amp;#REF!&amp;COUNTIF(#REF!,#REF!)</f>
        <v>#REF!</v>
      </c>
      <c r="G11" s="20" t="e">
        <f>#REF!&amp;#REF!&amp;COUNTIF(#REF!,#REF!)</f>
        <v>#REF!</v>
      </c>
      <c r="H11" s="20" t="e">
        <f>#REF!&amp;#REF!&amp;COUNTIF(#REF!,#REF!)</f>
        <v>#REF!</v>
      </c>
      <c r="I11" s="20" t="e">
        <f>#REF!&amp;#REF!&amp;COUNTIF(#REF!,#REF!)</f>
        <v>#REF!</v>
      </c>
      <c r="J11" s="20" t="e">
        <f>#REF!&amp;#REF!&amp;COUNTIF(#REF!,#REF!)</f>
        <v>#REF!</v>
      </c>
      <c r="K11" s="20" t="e">
        <f>#REF!&amp;#REF!&amp;COUNTIF(#REF!,#REF!)</f>
        <v>#REF!</v>
      </c>
      <c r="L11" s="20" t="e">
        <f>#REF!&amp;#REF!&amp;COUNTIF(#REF!,#REF!)</f>
        <v>#REF!</v>
      </c>
      <c r="M11" s="20" t="e">
        <f>#REF!&amp;#REF!&amp;COUNTIF(#REF!,#REF!)</f>
        <v>#REF!</v>
      </c>
      <c r="N11" s="20" t="e">
        <f>#REF!&amp;#REF!&amp;COUNTIF(#REF!,#REF!)</f>
        <v>#REF!</v>
      </c>
      <c r="O11" s="20" t="e">
        <f>#REF!&amp;#REF!&amp;COUNTIF(#REF!,#REF!)</f>
        <v>#REF!</v>
      </c>
      <c r="P11" s="20" t="e">
        <f>#REF!&amp;#REF!&amp;COUNTIF(#REF!,#REF!)</f>
        <v>#REF!</v>
      </c>
      <c r="Q11" s="20" t="e">
        <f>#REF!&amp;#REF!&amp;COUNTIF(#REF!,#REF!)</f>
        <v>#REF!</v>
      </c>
      <c r="R11" s="20" t="e">
        <f>#REF!&amp;#REF!&amp;COUNTIF(#REF!,#REF!)</f>
        <v>#REF!</v>
      </c>
      <c r="S11" s="20" t="e">
        <f>#REF!&amp;#REF!&amp;COUNTIF(#REF!,#REF!)</f>
        <v>#REF!</v>
      </c>
      <c r="T11" s="20" t="e">
        <f>#REF!&amp;#REF!&amp;COUNTIF(#REF!,#REF!)</f>
        <v>#REF!</v>
      </c>
      <c r="U11" s="20" t="e">
        <f>#REF!&amp;#REF!&amp;COUNTIF(#REF!,#REF!)</f>
        <v>#REF!</v>
      </c>
      <c r="V11" s="20" t="e">
        <f>#REF!&amp;#REF!&amp;COUNTIF(#REF!,#REF!)</f>
        <v>#REF!</v>
      </c>
      <c r="W11" s="20" t="e">
        <f>#REF!&amp;#REF!&amp;COUNTIF(#REF!,#REF!)</f>
        <v>#REF!</v>
      </c>
      <c r="X11" s="20" t="e">
        <f>#REF!&amp;#REF!&amp;COUNTIF(#REF!,#REF!)</f>
        <v>#REF!</v>
      </c>
      <c r="Y11" s="20" t="e">
        <f>#REF!&amp;#REF!&amp;COUNTIF(#REF!,#REF!)</f>
        <v>#REF!</v>
      </c>
      <c r="Z11" s="20" t="e">
        <f>#REF!&amp;#REF!&amp;COUNTIF(#REF!,#REF!)</f>
        <v>#REF!</v>
      </c>
      <c r="AA11" s="20" t="e">
        <f>#REF!&amp;#REF!&amp;COUNTIF(#REF!,#REF!)</f>
        <v>#REF!</v>
      </c>
      <c r="AB11" s="20" t="e">
        <f>#REF!&amp;#REF!&amp;COUNTIF(#REF!,#REF!)</f>
        <v>#REF!</v>
      </c>
      <c r="AC11" s="20" t="e">
        <f>#REF!&amp;#REF!&amp;COUNTIF(#REF!,#REF!)</f>
        <v>#REF!</v>
      </c>
      <c r="AD11" s="20" t="e">
        <f>#REF!&amp;#REF!&amp;COUNTIF(#REF!,#REF!)</f>
        <v>#REF!</v>
      </c>
      <c r="AE11" s="20" t="e">
        <f>#REF!&amp;#REF!&amp;COUNTIF(#REF!,#REF!)</f>
        <v>#REF!</v>
      </c>
      <c r="AF11" s="20" t="e">
        <f>#REF!&amp;#REF!&amp;COUNTIF(#REF!,#REF!)</f>
        <v>#REF!</v>
      </c>
      <c r="AG11" s="20" t="e">
        <f>#REF!&amp;#REF!&amp;COUNTIF(#REF!,#REF!)</f>
        <v>#REF!</v>
      </c>
      <c r="AH11" s="20" t="e">
        <f>#REF!&amp;#REF!&amp;COUNTIF(#REF!,#REF!)</f>
        <v>#REF!</v>
      </c>
      <c r="AI11" s="20" t="e">
        <f>#REF!&amp;#REF!&amp;COUNTIF(#REF!,#REF!)</f>
        <v>#REF!</v>
      </c>
      <c r="AJ11" s="3">
        <v>11</v>
      </c>
      <c r="AM11" s="30" t="e">
        <f t="shared" si="4"/>
        <v>#REF!</v>
      </c>
      <c r="AN11" s="27" t="e">
        <f t="shared" ref="AN11:AN17" si="7">AN10</f>
        <v>#REF!</v>
      </c>
      <c r="AP11" s="46" t="str">
        <f t="shared" si="1"/>
        <v/>
      </c>
      <c r="AQ11" s="31" t="str">
        <f t="shared" si="1"/>
        <v/>
      </c>
      <c r="AR11" s="31" t="str">
        <f t="shared" si="1"/>
        <v/>
      </c>
      <c r="AS11" s="46" t="str">
        <f t="shared" si="1"/>
        <v/>
      </c>
      <c r="AT11" s="31" t="str">
        <f t="shared" si="1"/>
        <v/>
      </c>
      <c r="AU11" s="31" t="str">
        <f t="shared" si="1"/>
        <v/>
      </c>
      <c r="AV11" s="46" t="str">
        <f t="shared" si="2"/>
        <v/>
      </c>
      <c r="AW11" s="31" t="str">
        <f t="shared" si="2"/>
        <v/>
      </c>
      <c r="AX11" s="32" t="str">
        <f t="shared" si="2"/>
        <v/>
      </c>
      <c r="AZ11" s="48" t="s">
        <v>259</v>
      </c>
      <c r="BA11" s="49">
        <f>COUNTA(AV9:AV18)-COUNTBLANK(AV9:AV18)+(COUNTA(AW9:AW18)-COUNTBLANK(AW9:AW18))*0.5+(COUNTA(AX9:AX18)-COUNTBLANK(AX9:AX18))*0.5</f>
        <v>0</v>
      </c>
      <c r="BB11" s="67" t="str">
        <f t="shared" si="5"/>
        <v/>
      </c>
      <c r="BC11" s="67" t="str">
        <f t="shared" si="6"/>
        <v/>
      </c>
      <c r="BD11" s="60" t="str">
        <f t="shared" si="3"/>
        <v/>
      </c>
    </row>
    <row r="12" spans="1:57" ht="20.25">
      <c r="A12" s="7">
        <f t="shared" si="0"/>
        <v>9</v>
      </c>
      <c r="B12" s="19" t="e">
        <f>#REF!</f>
        <v>#REF!</v>
      </c>
      <c r="C12" s="5" t="e">
        <f>#REF!</f>
        <v>#REF!</v>
      </c>
      <c r="D12" s="5" t="e">
        <f>#REF!</f>
        <v>#REF!</v>
      </c>
      <c r="E12" s="20" t="e">
        <f>#REF!&amp;#REF!&amp;COUNTIF(#REF!,#REF!)</f>
        <v>#REF!</v>
      </c>
      <c r="F12" s="20" t="e">
        <f>#REF!&amp;#REF!&amp;COUNTIF(#REF!,#REF!)</f>
        <v>#REF!</v>
      </c>
      <c r="G12" s="20" t="e">
        <f>#REF!&amp;#REF!&amp;COUNTIF(#REF!,#REF!)</f>
        <v>#REF!</v>
      </c>
      <c r="H12" s="20" t="e">
        <f>#REF!&amp;#REF!&amp;COUNTIF(#REF!,#REF!)</f>
        <v>#REF!</v>
      </c>
      <c r="I12" s="20" t="e">
        <f>#REF!&amp;#REF!&amp;COUNTIF(#REF!,#REF!)</f>
        <v>#REF!</v>
      </c>
      <c r="J12" s="20" t="e">
        <f>#REF!&amp;#REF!&amp;COUNTIF(#REF!,#REF!)</f>
        <v>#REF!</v>
      </c>
      <c r="K12" s="20" t="e">
        <f>#REF!&amp;#REF!&amp;COUNTIF(#REF!,#REF!)</f>
        <v>#REF!</v>
      </c>
      <c r="L12" s="20" t="e">
        <f>#REF!&amp;#REF!&amp;COUNTIF(#REF!,#REF!)</f>
        <v>#REF!</v>
      </c>
      <c r="M12" s="20" t="e">
        <f>#REF!&amp;#REF!&amp;COUNTIF(#REF!,#REF!)</f>
        <v>#REF!</v>
      </c>
      <c r="N12" s="20" t="e">
        <f>#REF!&amp;#REF!&amp;COUNTIF(#REF!,#REF!)</f>
        <v>#REF!</v>
      </c>
      <c r="O12" s="20" t="e">
        <f>#REF!&amp;#REF!&amp;COUNTIF(#REF!,#REF!)</f>
        <v>#REF!</v>
      </c>
      <c r="P12" s="20" t="e">
        <f>#REF!&amp;#REF!&amp;COUNTIF(#REF!,#REF!)</f>
        <v>#REF!</v>
      </c>
      <c r="Q12" s="20" t="e">
        <f>#REF!&amp;#REF!&amp;COUNTIF(#REF!,#REF!)</f>
        <v>#REF!</v>
      </c>
      <c r="R12" s="20" t="e">
        <f>#REF!&amp;#REF!&amp;COUNTIF(#REF!,#REF!)</f>
        <v>#REF!</v>
      </c>
      <c r="S12" s="20" t="e">
        <f>#REF!&amp;#REF!&amp;COUNTIF(#REF!,#REF!)</f>
        <v>#REF!</v>
      </c>
      <c r="T12" s="20" t="e">
        <f>#REF!&amp;#REF!&amp;COUNTIF(#REF!,#REF!)</f>
        <v>#REF!</v>
      </c>
      <c r="U12" s="20" t="e">
        <f>#REF!&amp;#REF!&amp;COUNTIF(#REF!,#REF!)</f>
        <v>#REF!</v>
      </c>
      <c r="V12" s="20" t="e">
        <f>#REF!&amp;#REF!&amp;COUNTIF(#REF!,#REF!)</f>
        <v>#REF!</v>
      </c>
      <c r="W12" s="20" t="e">
        <f>#REF!&amp;#REF!&amp;COUNTIF(#REF!,#REF!)</f>
        <v>#REF!</v>
      </c>
      <c r="X12" s="20" t="e">
        <f>#REF!&amp;#REF!&amp;COUNTIF(#REF!,#REF!)</f>
        <v>#REF!</v>
      </c>
      <c r="Y12" s="20" t="e">
        <f>#REF!&amp;#REF!&amp;COUNTIF(#REF!,#REF!)</f>
        <v>#REF!</v>
      </c>
      <c r="Z12" s="20" t="e">
        <f>#REF!&amp;#REF!&amp;COUNTIF(#REF!,#REF!)</f>
        <v>#REF!</v>
      </c>
      <c r="AA12" s="20" t="e">
        <f>#REF!&amp;#REF!&amp;COUNTIF(#REF!,#REF!)</f>
        <v>#REF!</v>
      </c>
      <c r="AB12" s="20" t="e">
        <f>#REF!&amp;#REF!&amp;COUNTIF(#REF!,#REF!)</f>
        <v>#REF!</v>
      </c>
      <c r="AC12" s="20" t="e">
        <f>#REF!&amp;#REF!&amp;COUNTIF(#REF!,#REF!)</f>
        <v>#REF!</v>
      </c>
      <c r="AD12" s="20" t="e">
        <f>#REF!&amp;#REF!&amp;COUNTIF(#REF!,#REF!)</f>
        <v>#REF!</v>
      </c>
      <c r="AE12" s="20" t="e">
        <f>#REF!&amp;#REF!&amp;COUNTIF(#REF!,#REF!)</f>
        <v>#REF!</v>
      </c>
      <c r="AF12" s="20" t="e">
        <f>#REF!&amp;#REF!&amp;COUNTIF(#REF!,#REF!)</f>
        <v>#REF!</v>
      </c>
      <c r="AG12" s="20" t="e">
        <f>#REF!&amp;#REF!&amp;COUNTIF(#REF!,#REF!)</f>
        <v>#REF!</v>
      </c>
      <c r="AH12" s="20" t="e">
        <f>#REF!&amp;#REF!&amp;COUNTIF(#REF!,#REF!)</f>
        <v>#REF!</v>
      </c>
      <c r="AI12" s="20" t="e">
        <f>#REF!&amp;#REF!&amp;COUNTIF(#REF!,#REF!)</f>
        <v>#REF!</v>
      </c>
      <c r="AJ12" s="3">
        <v>12</v>
      </c>
      <c r="AM12" s="30" t="e">
        <f t="shared" si="4"/>
        <v>#REF!</v>
      </c>
      <c r="AN12" s="27" t="e">
        <f t="shared" si="7"/>
        <v>#REF!</v>
      </c>
      <c r="AP12" s="46" t="str">
        <f t="shared" si="1"/>
        <v/>
      </c>
      <c r="AQ12" s="31" t="str">
        <f t="shared" si="1"/>
        <v/>
      </c>
      <c r="AR12" s="31" t="str">
        <f t="shared" si="1"/>
        <v/>
      </c>
      <c r="AS12" s="46" t="str">
        <f t="shared" si="1"/>
        <v/>
      </c>
      <c r="AT12" s="31" t="str">
        <f t="shared" si="1"/>
        <v/>
      </c>
      <c r="AU12" s="31" t="str">
        <f t="shared" si="1"/>
        <v/>
      </c>
      <c r="AV12" s="46" t="str">
        <f t="shared" si="2"/>
        <v/>
      </c>
      <c r="AW12" s="31" t="str">
        <f t="shared" si="2"/>
        <v/>
      </c>
      <c r="AX12" s="32" t="str">
        <f t="shared" si="2"/>
        <v/>
      </c>
      <c r="AZ12" s="33"/>
      <c r="BA12" s="23"/>
      <c r="BB12" s="67" t="str">
        <f t="shared" si="5"/>
        <v/>
      </c>
      <c r="BC12" s="67" t="str">
        <f t="shared" si="6"/>
        <v/>
      </c>
      <c r="BD12" s="60" t="str">
        <f t="shared" si="3"/>
        <v/>
      </c>
    </row>
    <row r="13" spans="1:57" ht="20.25">
      <c r="A13" s="7">
        <f t="shared" si="0"/>
        <v>10</v>
      </c>
      <c r="B13" s="19" t="e">
        <f>#REF!</f>
        <v>#REF!</v>
      </c>
      <c r="C13" s="5" t="e">
        <f>#REF!</f>
        <v>#REF!</v>
      </c>
      <c r="D13" s="5" t="e">
        <f>#REF!</f>
        <v>#REF!</v>
      </c>
      <c r="E13" s="20" t="e">
        <f>#REF!&amp;#REF!&amp;COUNTIF(#REF!,#REF!)</f>
        <v>#REF!</v>
      </c>
      <c r="F13" s="20" t="e">
        <f>#REF!&amp;#REF!&amp;COUNTIF(#REF!,#REF!)</f>
        <v>#REF!</v>
      </c>
      <c r="G13" s="20" t="e">
        <f>#REF!&amp;#REF!&amp;COUNTIF(#REF!,#REF!)</f>
        <v>#REF!</v>
      </c>
      <c r="H13" s="20" t="e">
        <f>#REF!&amp;#REF!&amp;COUNTIF(#REF!,#REF!)</f>
        <v>#REF!</v>
      </c>
      <c r="I13" s="20" t="e">
        <f>#REF!&amp;#REF!&amp;COUNTIF(#REF!,#REF!)</f>
        <v>#REF!</v>
      </c>
      <c r="J13" s="20" t="e">
        <f>#REF!&amp;#REF!&amp;COUNTIF(#REF!,#REF!)</f>
        <v>#REF!</v>
      </c>
      <c r="K13" s="20" t="e">
        <f>#REF!&amp;#REF!&amp;COUNTIF(#REF!,#REF!)</f>
        <v>#REF!</v>
      </c>
      <c r="L13" s="20" t="e">
        <f>#REF!&amp;#REF!&amp;COUNTIF(#REF!,#REF!)</f>
        <v>#REF!</v>
      </c>
      <c r="M13" s="20" t="e">
        <f>#REF!&amp;#REF!&amp;COUNTIF(#REF!,#REF!)</f>
        <v>#REF!</v>
      </c>
      <c r="N13" s="20" t="e">
        <f>#REF!&amp;#REF!&amp;COUNTIF(#REF!,#REF!)</f>
        <v>#REF!</v>
      </c>
      <c r="O13" s="20" t="e">
        <f>#REF!&amp;#REF!&amp;COUNTIF(#REF!,#REF!)</f>
        <v>#REF!</v>
      </c>
      <c r="P13" s="20" t="e">
        <f>#REF!&amp;#REF!&amp;COUNTIF(#REF!,#REF!)</f>
        <v>#REF!</v>
      </c>
      <c r="Q13" s="20" t="e">
        <f>#REF!&amp;#REF!&amp;COUNTIF(#REF!,#REF!)</f>
        <v>#REF!</v>
      </c>
      <c r="R13" s="20" t="e">
        <f>#REF!&amp;#REF!&amp;COUNTIF(#REF!,#REF!)</f>
        <v>#REF!</v>
      </c>
      <c r="S13" s="20" t="e">
        <f>#REF!&amp;#REF!&amp;COUNTIF(#REF!,#REF!)</f>
        <v>#REF!</v>
      </c>
      <c r="T13" s="20" t="e">
        <f>#REF!&amp;#REF!&amp;COUNTIF(#REF!,#REF!)</f>
        <v>#REF!</v>
      </c>
      <c r="U13" s="20" t="e">
        <f>#REF!&amp;#REF!&amp;COUNTIF(#REF!,#REF!)</f>
        <v>#REF!</v>
      </c>
      <c r="V13" s="20" t="e">
        <f>#REF!&amp;#REF!&amp;COUNTIF(#REF!,#REF!)</f>
        <v>#REF!</v>
      </c>
      <c r="W13" s="20" t="e">
        <f>#REF!&amp;#REF!&amp;COUNTIF(#REF!,#REF!)</f>
        <v>#REF!</v>
      </c>
      <c r="X13" s="20" t="e">
        <f>#REF!&amp;#REF!&amp;COUNTIF(#REF!,#REF!)</f>
        <v>#REF!</v>
      </c>
      <c r="Y13" s="20" t="e">
        <f>#REF!&amp;#REF!&amp;COUNTIF(#REF!,#REF!)</f>
        <v>#REF!</v>
      </c>
      <c r="Z13" s="20" t="e">
        <f>#REF!&amp;#REF!&amp;COUNTIF(#REF!,#REF!)</f>
        <v>#REF!</v>
      </c>
      <c r="AA13" s="20" t="e">
        <f>#REF!&amp;#REF!&amp;COUNTIF(#REF!,#REF!)</f>
        <v>#REF!</v>
      </c>
      <c r="AB13" s="20" t="e">
        <f>#REF!&amp;#REF!&amp;COUNTIF(#REF!,#REF!)</f>
        <v>#REF!</v>
      </c>
      <c r="AC13" s="20" t="e">
        <f>#REF!&amp;#REF!&amp;COUNTIF(#REF!,#REF!)</f>
        <v>#REF!</v>
      </c>
      <c r="AD13" s="20" t="e">
        <f>#REF!&amp;#REF!&amp;COUNTIF(#REF!,#REF!)</f>
        <v>#REF!</v>
      </c>
      <c r="AE13" s="20" t="e">
        <f>#REF!&amp;#REF!&amp;COUNTIF(#REF!,#REF!)</f>
        <v>#REF!</v>
      </c>
      <c r="AF13" s="20" t="e">
        <f>#REF!&amp;#REF!&amp;COUNTIF(#REF!,#REF!)</f>
        <v>#REF!</v>
      </c>
      <c r="AG13" s="20" t="e">
        <f>#REF!&amp;#REF!&amp;COUNTIF(#REF!,#REF!)</f>
        <v>#REF!</v>
      </c>
      <c r="AH13" s="20" t="e">
        <f>#REF!&amp;#REF!&amp;COUNTIF(#REF!,#REF!)</f>
        <v>#REF!</v>
      </c>
      <c r="AI13" s="20" t="e">
        <f>#REF!&amp;#REF!&amp;COUNTIF(#REF!,#REF!)</f>
        <v>#REF!</v>
      </c>
      <c r="AJ13" s="3">
        <v>13</v>
      </c>
      <c r="AM13" s="30" t="e">
        <f t="shared" si="4"/>
        <v>#REF!</v>
      </c>
      <c r="AN13" s="27" t="e">
        <f t="shared" si="7"/>
        <v>#REF!</v>
      </c>
      <c r="AP13" s="46" t="str">
        <f t="shared" si="1"/>
        <v/>
      </c>
      <c r="AQ13" s="31" t="str">
        <f t="shared" si="1"/>
        <v/>
      </c>
      <c r="AR13" s="31" t="str">
        <f t="shared" si="1"/>
        <v/>
      </c>
      <c r="AS13" s="46" t="str">
        <f t="shared" si="1"/>
        <v/>
      </c>
      <c r="AT13" s="31" t="str">
        <f t="shared" si="1"/>
        <v/>
      </c>
      <c r="AU13" s="31" t="str">
        <f t="shared" si="1"/>
        <v/>
      </c>
      <c r="AV13" s="46" t="str">
        <f t="shared" si="2"/>
        <v/>
      </c>
      <c r="AW13" s="31" t="str">
        <f t="shared" si="2"/>
        <v/>
      </c>
      <c r="AX13" s="32" t="str">
        <f t="shared" si="2"/>
        <v/>
      </c>
      <c r="AZ13" s="33"/>
      <c r="BB13" s="67" t="str">
        <f t="shared" si="5"/>
        <v/>
      </c>
      <c r="BC13" s="67" t="str">
        <f t="shared" si="6"/>
        <v/>
      </c>
      <c r="BD13" s="60" t="str">
        <f t="shared" si="3"/>
        <v/>
      </c>
    </row>
    <row r="14" spans="1:57" ht="20.25">
      <c r="A14" s="7">
        <f t="shared" si="0"/>
        <v>11</v>
      </c>
      <c r="B14" s="19" t="e">
        <f>#REF!</f>
        <v>#REF!</v>
      </c>
      <c r="C14" s="5" t="e">
        <f>#REF!</f>
        <v>#REF!</v>
      </c>
      <c r="D14" s="5" t="e">
        <f>#REF!</f>
        <v>#REF!</v>
      </c>
      <c r="E14" s="20" t="e">
        <f>#REF!&amp;#REF!&amp;COUNTIF(#REF!,#REF!)</f>
        <v>#REF!</v>
      </c>
      <c r="F14" s="20" t="e">
        <f>#REF!&amp;#REF!&amp;COUNTIF(#REF!,#REF!)</f>
        <v>#REF!</v>
      </c>
      <c r="G14" s="20" t="e">
        <f>#REF!&amp;#REF!&amp;COUNTIF(#REF!,#REF!)</f>
        <v>#REF!</v>
      </c>
      <c r="H14" s="20" t="e">
        <f>#REF!&amp;#REF!&amp;COUNTIF(#REF!,#REF!)</f>
        <v>#REF!</v>
      </c>
      <c r="I14" s="20" t="e">
        <f>#REF!&amp;#REF!&amp;COUNTIF(#REF!,#REF!)</f>
        <v>#REF!</v>
      </c>
      <c r="J14" s="20" t="e">
        <f>#REF!&amp;#REF!&amp;COUNTIF(#REF!,#REF!)</f>
        <v>#REF!</v>
      </c>
      <c r="K14" s="20" t="e">
        <f>#REF!&amp;#REF!&amp;COUNTIF(#REF!,#REF!)</f>
        <v>#REF!</v>
      </c>
      <c r="L14" s="20" t="e">
        <f>#REF!&amp;#REF!&amp;COUNTIF(#REF!,#REF!)</f>
        <v>#REF!</v>
      </c>
      <c r="M14" s="20" t="e">
        <f>#REF!&amp;#REF!&amp;COUNTIF(#REF!,#REF!)</f>
        <v>#REF!</v>
      </c>
      <c r="N14" s="20" t="e">
        <f>#REF!&amp;#REF!&amp;COUNTIF(#REF!,#REF!)</f>
        <v>#REF!</v>
      </c>
      <c r="O14" s="20" t="e">
        <f>#REF!&amp;#REF!&amp;COUNTIF(#REF!,#REF!)</f>
        <v>#REF!</v>
      </c>
      <c r="P14" s="20" t="e">
        <f>#REF!&amp;#REF!&amp;COUNTIF(#REF!,#REF!)</f>
        <v>#REF!</v>
      </c>
      <c r="Q14" s="20" t="e">
        <f>#REF!&amp;#REF!&amp;COUNTIF(#REF!,#REF!)</f>
        <v>#REF!</v>
      </c>
      <c r="R14" s="20" t="e">
        <f>#REF!&amp;#REF!&amp;COUNTIF(#REF!,#REF!)</f>
        <v>#REF!</v>
      </c>
      <c r="S14" s="20" t="e">
        <f>#REF!&amp;#REF!&amp;COUNTIF(#REF!,#REF!)</f>
        <v>#REF!</v>
      </c>
      <c r="T14" s="20" t="e">
        <f>#REF!&amp;#REF!&amp;COUNTIF(#REF!,#REF!)</f>
        <v>#REF!</v>
      </c>
      <c r="U14" s="20" t="e">
        <f>#REF!&amp;#REF!&amp;COUNTIF(#REF!,#REF!)</f>
        <v>#REF!</v>
      </c>
      <c r="V14" s="20" t="e">
        <f>#REF!&amp;#REF!&amp;COUNTIF(#REF!,#REF!)</f>
        <v>#REF!</v>
      </c>
      <c r="W14" s="20" t="e">
        <f>#REF!&amp;#REF!&amp;COUNTIF(#REF!,#REF!)</f>
        <v>#REF!</v>
      </c>
      <c r="X14" s="20" t="e">
        <f>#REF!&amp;#REF!&amp;COUNTIF(#REF!,#REF!)</f>
        <v>#REF!</v>
      </c>
      <c r="Y14" s="20" t="e">
        <f>#REF!&amp;#REF!&amp;COUNTIF(#REF!,#REF!)</f>
        <v>#REF!</v>
      </c>
      <c r="Z14" s="20" t="e">
        <f>#REF!&amp;#REF!&amp;COUNTIF(#REF!,#REF!)</f>
        <v>#REF!</v>
      </c>
      <c r="AA14" s="20" t="e">
        <f>#REF!&amp;#REF!&amp;COUNTIF(#REF!,#REF!)</f>
        <v>#REF!</v>
      </c>
      <c r="AB14" s="20" t="e">
        <f>#REF!&amp;#REF!&amp;COUNTIF(#REF!,#REF!)</f>
        <v>#REF!</v>
      </c>
      <c r="AC14" s="20" t="e">
        <f>#REF!&amp;#REF!&amp;COUNTIF(#REF!,#REF!)</f>
        <v>#REF!</v>
      </c>
      <c r="AD14" s="20" t="e">
        <f>#REF!&amp;#REF!&amp;COUNTIF(#REF!,#REF!)</f>
        <v>#REF!</v>
      </c>
      <c r="AE14" s="20" t="e">
        <f>#REF!&amp;#REF!&amp;COUNTIF(#REF!,#REF!)</f>
        <v>#REF!</v>
      </c>
      <c r="AF14" s="20" t="e">
        <f>#REF!&amp;#REF!&amp;COUNTIF(#REF!,#REF!)</f>
        <v>#REF!</v>
      </c>
      <c r="AG14" s="20" t="e">
        <f>#REF!&amp;#REF!&amp;COUNTIF(#REF!,#REF!)</f>
        <v>#REF!</v>
      </c>
      <c r="AH14" s="20" t="e">
        <f>#REF!&amp;#REF!&amp;COUNTIF(#REF!,#REF!)</f>
        <v>#REF!</v>
      </c>
      <c r="AI14" s="20" t="e">
        <f>#REF!&amp;#REF!&amp;COUNTIF(#REF!,#REF!)</f>
        <v>#REF!</v>
      </c>
      <c r="AJ14" s="3">
        <v>14</v>
      </c>
      <c r="AM14" s="30" t="e">
        <f t="shared" si="4"/>
        <v>#REF!</v>
      </c>
      <c r="AN14" s="27" t="e">
        <f t="shared" si="7"/>
        <v>#REF!</v>
      </c>
      <c r="AP14" s="46" t="str">
        <f t="shared" si="1"/>
        <v/>
      </c>
      <c r="AQ14" s="31" t="str">
        <f t="shared" si="1"/>
        <v/>
      </c>
      <c r="AR14" s="31" t="str">
        <f t="shared" si="1"/>
        <v/>
      </c>
      <c r="AS14" s="46" t="str">
        <f t="shared" si="1"/>
        <v/>
      </c>
      <c r="AT14" s="31" t="str">
        <f t="shared" si="1"/>
        <v/>
      </c>
      <c r="AU14" s="31" t="str">
        <f t="shared" si="1"/>
        <v/>
      </c>
      <c r="AV14" s="46" t="str">
        <f t="shared" si="2"/>
        <v/>
      </c>
      <c r="AW14" s="31" t="str">
        <f t="shared" si="2"/>
        <v/>
      </c>
      <c r="AX14" s="32" t="str">
        <f t="shared" si="2"/>
        <v/>
      </c>
      <c r="AZ14" s="23" t="s">
        <v>260</v>
      </c>
      <c r="BB14" s="67" t="str">
        <f t="shared" si="5"/>
        <v/>
      </c>
      <c r="BC14" s="67" t="str">
        <f t="shared" si="6"/>
        <v/>
      </c>
      <c r="BD14" s="60" t="str">
        <f t="shared" si="3"/>
        <v/>
      </c>
    </row>
    <row r="15" spans="1:57" ht="20.25">
      <c r="A15" s="7">
        <f t="shared" si="0"/>
        <v>12</v>
      </c>
      <c r="B15" s="19" t="e">
        <f>#REF!</f>
        <v>#REF!</v>
      </c>
      <c r="C15" s="5" t="e">
        <f>#REF!</f>
        <v>#REF!</v>
      </c>
      <c r="D15" s="5" t="e">
        <f>#REF!</f>
        <v>#REF!</v>
      </c>
      <c r="E15" s="20" t="e">
        <f>#REF!&amp;#REF!&amp;COUNTIF(#REF!,#REF!)</f>
        <v>#REF!</v>
      </c>
      <c r="F15" s="20" t="e">
        <f>#REF!&amp;#REF!&amp;COUNTIF(#REF!,#REF!)</f>
        <v>#REF!</v>
      </c>
      <c r="G15" s="20" t="e">
        <f>#REF!&amp;#REF!&amp;COUNTIF(#REF!,#REF!)</f>
        <v>#REF!</v>
      </c>
      <c r="H15" s="20" t="e">
        <f>#REF!&amp;#REF!&amp;COUNTIF(#REF!,#REF!)</f>
        <v>#REF!</v>
      </c>
      <c r="I15" s="20" t="e">
        <f>#REF!&amp;#REF!&amp;COUNTIF(#REF!,#REF!)</f>
        <v>#REF!</v>
      </c>
      <c r="J15" s="20" t="e">
        <f>#REF!&amp;#REF!&amp;COUNTIF(#REF!,#REF!)</f>
        <v>#REF!</v>
      </c>
      <c r="K15" s="20" t="e">
        <f>#REF!&amp;#REF!&amp;COUNTIF(#REF!,#REF!)</f>
        <v>#REF!</v>
      </c>
      <c r="L15" s="20" t="e">
        <f>#REF!&amp;#REF!&amp;COUNTIF(#REF!,#REF!)</f>
        <v>#REF!</v>
      </c>
      <c r="M15" s="20" t="e">
        <f>#REF!&amp;#REF!&amp;COUNTIF(#REF!,#REF!)</f>
        <v>#REF!</v>
      </c>
      <c r="N15" s="20" t="e">
        <f>#REF!&amp;#REF!&amp;COUNTIF(#REF!,#REF!)</f>
        <v>#REF!</v>
      </c>
      <c r="O15" s="20" t="e">
        <f>#REF!&amp;#REF!&amp;COUNTIF(#REF!,#REF!)</f>
        <v>#REF!</v>
      </c>
      <c r="P15" s="20" t="e">
        <f>#REF!&amp;#REF!&amp;COUNTIF(#REF!,#REF!)</f>
        <v>#REF!</v>
      </c>
      <c r="Q15" s="20" t="e">
        <f>#REF!&amp;#REF!&amp;COUNTIF(#REF!,#REF!)</f>
        <v>#REF!</v>
      </c>
      <c r="R15" s="20" t="e">
        <f>#REF!&amp;#REF!&amp;COUNTIF(#REF!,#REF!)</f>
        <v>#REF!</v>
      </c>
      <c r="S15" s="20" t="e">
        <f>#REF!&amp;#REF!&amp;COUNTIF(#REF!,#REF!)</f>
        <v>#REF!</v>
      </c>
      <c r="T15" s="20" t="e">
        <f>#REF!&amp;#REF!&amp;COUNTIF(#REF!,#REF!)</f>
        <v>#REF!</v>
      </c>
      <c r="U15" s="20" t="e">
        <f>#REF!&amp;#REF!&amp;COUNTIF(#REF!,#REF!)</f>
        <v>#REF!</v>
      </c>
      <c r="V15" s="20" t="e">
        <f>#REF!&amp;#REF!&amp;COUNTIF(#REF!,#REF!)</f>
        <v>#REF!</v>
      </c>
      <c r="W15" s="20" t="e">
        <f>#REF!&amp;#REF!&amp;COUNTIF(#REF!,#REF!)</f>
        <v>#REF!</v>
      </c>
      <c r="X15" s="20" t="e">
        <f>#REF!&amp;#REF!&amp;COUNTIF(#REF!,#REF!)</f>
        <v>#REF!</v>
      </c>
      <c r="Y15" s="20" t="e">
        <f>#REF!&amp;#REF!&amp;COUNTIF(#REF!,#REF!)</f>
        <v>#REF!</v>
      </c>
      <c r="Z15" s="20" t="e">
        <f>#REF!&amp;#REF!&amp;COUNTIF(#REF!,#REF!)</f>
        <v>#REF!</v>
      </c>
      <c r="AA15" s="20" t="e">
        <f>#REF!&amp;#REF!&amp;COUNTIF(#REF!,#REF!)</f>
        <v>#REF!</v>
      </c>
      <c r="AB15" s="20" t="e">
        <f>#REF!&amp;#REF!&amp;COUNTIF(#REF!,#REF!)</f>
        <v>#REF!</v>
      </c>
      <c r="AC15" s="20" t="e">
        <f>#REF!&amp;#REF!&amp;COUNTIF(#REF!,#REF!)</f>
        <v>#REF!</v>
      </c>
      <c r="AD15" s="20" t="e">
        <f>#REF!&amp;#REF!&amp;COUNTIF(#REF!,#REF!)</f>
        <v>#REF!</v>
      </c>
      <c r="AE15" s="20" t="e">
        <f>#REF!&amp;#REF!&amp;COUNTIF(#REF!,#REF!)</f>
        <v>#REF!</v>
      </c>
      <c r="AF15" s="20" t="e">
        <f>#REF!&amp;#REF!&amp;COUNTIF(#REF!,#REF!)</f>
        <v>#REF!</v>
      </c>
      <c r="AG15" s="20" t="e">
        <f>#REF!&amp;#REF!&amp;COUNTIF(#REF!,#REF!)</f>
        <v>#REF!</v>
      </c>
      <c r="AH15" s="20" t="e">
        <f>#REF!&amp;#REF!&amp;COUNTIF(#REF!,#REF!)</f>
        <v>#REF!</v>
      </c>
      <c r="AI15" s="20" t="e">
        <f>#REF!&amp;#REF!&amp;COUNTIF(#REF!,#REF!)</f>
        <v>#REF!</v>
      </c>
      <c r="AJ15" s="3">
        <v>15</v>
      </c>
      <c r="AM15" s="30" t="e">
        <f t="shared" si="4"/>
        <v>#REF!</v>
      </c>
      <c r="AN15" s="27" t="e">
        <f t="shared" si="7"/>
        <v>#REF!</v>
      </c>
      <c r="AP15" s="46" t="str">
        <f t="shared" ref="AP15:AU17" si="8">IFERROR(INDEX($E$3:$AI$3,MATCH($AN15&amp;AP$8&amp;ROW(A8),$E$4:$AI$4,0))&amp;"/"&amp;$AN$3,"")</f>
        <v/>
      </c>
      <c r="AQ15" s="31" t="str">
        <f t="shared" si="8"/>
        <v/>
      </c>
      <c r="AR15" s="31" t="str">
        <f t="shared" si="8"/>
        <v/>
      </c>
      <c r="AS15" s="46" t="str">
        <f t="shared" si="8"/>
        <v/>
      </c>
      <c r="AT15" s="31" t="str">
        <f t="shared" si="8"/>
        <v/>
      </c>
      <c r="AU15" s="31" t="str">
        <f t="shared" si="8"/>
        <v/>
      </c>
      <c r="AV15" s="46" t="str">
        <f t="shared" ref="AV15:AX17" si="9">IFERROR(INDEX($E$3:$AI$3,MATCH($AN15&amp;AV$8&amp;ROW(G8),$E$4:$AI$4,0))&amp;"/"&amp;$AN$3,"")</f>
        <v/>
      </c>
      <c r="AW15" s="31" t="str">
        <f t="shared" si="9"/>
        <v/>
      </c>
      <c r="AX15" s="32" t="str">
        <f t="shared" si="9"/>
        <v/>
      </c>
      <c r="AZ15" s="33"/>
      <c r="BB15" s="67" t="str">
        <f t="shared" si="5"/>
        <v/>
      </c>
      <c r="BC15" s="67" t="str">
        <f t="shared" si="6"/>
        <v/>
      </c>
      <c r="BD15" s="60" t="str">
        <f>IFERROR(INDEX($E$3:$AI$3,MATCH($AN15&amp;BD$8&amp;ROW(K8),$E$4:$AI$4,0))&amp;"/"&amp;$AN$3,"")</f>
        <v/>
      </c>
    </row>
    <row r="16" spans="1:57" ht="20.25">
      <c r="A16" s="7">
        <f t="shared" si="0"/>
        <v>13</v>
      </c>
      <c r="B16" s="19" t="e">
        <f>#REF!</f>
        <v>#REF!</v>
      </c>
      <c r="C16" s="5" t="e">
        <f>#REF!</f>
        <v>#REF!</v>
      </c>
      <c r="D16" s="5" t="e">
        <f>#REF!</f>
        <v>#REF!</v>
      </c>
      <c r="E16" s="20" t="e">
        <f>#REF!&amp;#REF!&amp;COUNTIF(#REF!,#REF!)</f>
        <v>#REF!</v>
      </c>
      <c r="F16" s="20" t="e">
        <f>#REF!&amp;#REF!&amp;COUNTIF(#REF!,#REF!)</f>
        <v>#REF!</v>
      </c>
      <c r="G16" s="20" t="e">
        <f>#REF!&amp;#REF!&amp;COUNTIF(#REF!,#REF!)</f>
        <v>#REF!</v>
      </c>
      <c r="H16" s="20" t="e">
        <f>#REF!&amp;#REF!&amp;COUNTIF(#REF!,#REF!)</f>
        <v>#REF!</v>
      </c>
      <c r="I16" s="20" t="e">
        <f>#REF!&amp;#REF!&amp;COUNTIF(#REF!,#REF!)</f>
        <v>#REF!</v>
      </c>
      <c r="J16" s="20" t="e">
        <f>#REF!&amp;#REF!&amp;COUNTIF(#REF!,#REF!)</f>
        <v>#REF!</v>
      </c>
      <c r="K16" s="20" t="e">
        <f>#REF!&amp;#REF!&amp;COUNTIF(#REF!,#REF!)</f>
        <v>#REF!</v>
      </c>
      <c r="L16" s="20" t="e">
        <f>#REF!&amp;#REF!&amp;COUNTIF(#REF!,#REF!)</f>
        <v>#REF!</v>
      </c>
      <c r="M16" s="20" t="e">
        <f>#REF!&amp;#REF!&amp;COUNTIF(#REF!,#REF!)</f>
        <v>#REF!</v>
      </c>
      <c r="N16" s="20" t="e">
        <f>#REF!&amp;#REF!&amp;COUNTIF(#REF!,#REF!)</f>
        <v>#REF!</v>
      </c>
      <c r="O16" s="20" t="e">
        <f>#REF!&amp;#REF!&amp;COUNTIF(#REF!,#REF!)</f>
        <v>#REF!</v>
      </c>
      <c r="P16" s="20" t="e">
        <f>#REF!&amp;#REF!&amp;COUNTIF(#REF!,#REF!)</f>
        <v>#REF!</v>
      </c>
      <c r="Q16" s="20" t="e">
        <f>#REF!&amp;#REF!&amp;COUNTIF(#REF!,#REF!)</f>
        <v>#REF!</v>
      </c>
      <c r="R16" s="20" t="e">
        <f>#REF!&amp;#REF!&amp;COUNTIF(#REF!,#REF!)</f>
        <v>#REF!</v>
      </c>
      <c r="S16" s="20" t="e">
        <f>#REF!&amp;#REF!&amp;COUNTIF(#REF!,#REF!)</f>
        <v>#REF!</v>
      </c>
      <c r="T16" s="20" t="e">
        <f>#REF!&amp;#REF!&amp;COUNTIF(#REF!,#REF!)</f>
        <v>#REF!</v>
      </c>
      <c r="U16" s="20" t="e">
        <f>#REF!&amp;#REF!&amp;COUNTIF(#REF!,#REF!)</f>
        <v>#REF!</v>
      </c>
      <c r="V16" s="20" t="e">
        <f>#REF!&amp;#REF!&amp;COUNTIF(#REF!,#REF!)</f>
        <v>#REF!</v>
      </c>
      <c r="W16" s="20" t="e">
        <f>#REF!&amp;#REF!&amp;COUNTIF(#REF!,#REF!)</f>
        <v>#REF!</v>
      </c>
      <c r="X16" s="20" t="e">
        <f>#REF!&amp;#REF!&amp;COUNTIF(#REF!,#REF!)</f>
        <v>#REF!</v>
      </c>
      <c r="Y16" s="20" t="e">
        <f>#REF!&amp;#REF!&amp;COUNTIF(#REF!,#REF!)</f>
        <v>#REF!</v>
      </c>
      <c r="Z16" s="20" t="e">
        <f>#REF!&amp;#REF!&amp;COUNTIF(#REF!,#REF!)</f>
        <v>#REF!</v>
      </c>
      <c r="AA16" s="20" t="e">
        <f>#REF!&amp;#REF!&amp;COUNTIF(#REF!,#REF!)</f>
        <v>#REF!</v>
      </c>
      <c r="AB16" s="20" t="e">
        <f>#REF!&amp;#REF!&amp;COUNTIF(#REF!,#REF!)</f>
        <v>#REF!</v>
      </c>
      <c r="AC16" s="20" t="e">
        <f>#REF!&amp;#REF!&amp;COUNTIF(#REF!,#REF!)</f>
        <v>#REF!</v>
      </c>
      <c r="AD16" s="20" t="e">
        <f>#REF!&amp;#REF!&amp;COUNTIF(#REF!,#REF!)</f>
        <v>#REF!</v>
      </c>
      <c r="AE16" s="20" t="e">
        <f>#REF!&amp;#REF!&amp;COUNTIF(#REF!,#REF!)</f>
        <v>#REF!</v>
      </c>
      <c r="AF16" s="20" t="e">
        <f>#REF!&amp;#REF!&amp;COUNTIF(#REF!,#REF!)</f>
        <v>#REF!</v>
      </c>
      <c r="AG16" s="20" t="e">
        <f>#REF!&amp;#REF!&amp;COUNTIF(#REF!,#REF!)</f>
        <v>#REF!</v>
      </c>
      <c r="AH16" s="20" t="e">
        <f>#REF!&amp;#REF!&amp;COUNTIF(#REF!,#REF!)</f>
        <v>#REF!</v>
      </c>
      <c r="AI16" s="20" t="e">
        <f>#REF!&amp;#REF!&amp;COUNTIF(#REF!,#REF!)</f>
        <v>#REF!</v>
      </c>
      <c r="AJ16" s="3">
        <v>16</v>
      </c>
      <c r="AM16" s="30" t="e">
        <f t="shared" si="4"/>
        <v>#REF!</v>
      </c>
      <c r="AN16" s="27" t="e">
        <f t="shared" si="7"/>
        <v>#REF!</v>
      </c>
      <c r="AP16" s="46" t="str">
        <f t="shared" si="8"/>
        <v/>
      </c>
      <c r="AQ16" s="31" t="str">
        <f t="shared" si="8"/>
        <v/>
      </c>
      <c r="AR16" s="31" t="str">
        <f t="shared" si="8"/>
        <v/>
      </c>
      <c r="AS16" s="46" t="str">
        <f t="shared" si="8"/>
        <v/>
      </c>
      <c r="AT16" s="31" t="str">
        <f t="shared" si="8"/>
        <v/>
      </c>
      <c r="AU16" s="31" t="str">
        <f t="shared" si="8"/>
        <v/>
      </c>
      <c r="AV16" s="46" t="str">
        <f t="shared" si="9"/>
        <v/>
      </c>
      <c r="AW16" s="31" t="str">
        <f t="shared" si="9"/>
        <v/>
      </c>
      <c r="AX16" s="32" t="str">
        <f t="shared" si="9"/>
        <v/>
      </c>
      <c r="BB16" s="67" t="str">
        <f t="shared" si="5"/>
        <v/>
      </c>
      <c r="BC16" s="67" t="str">
        <f t="shared" si="6"/>
        <v/>
      </c>
      <c r="BD16" s="60" t="str">
        <f>IFERROR(INDEX($E$3:$AI$3,MATCH($AN16&amp;BD$8&amp;ROW(K9),$E$4:$AI$4,0))&amp;"/"&amp;$AN$3,"")</f>
        <v/>
      </c>
    </row>
    <row r="17" spans="1:56" ht="20.25">
      <c r="A17" s="7">
        <f t="shared" si="0"/>
        <v>14</v>
      </c>
      <c r="B17" s="19" t="e">
        <f>#REF!</f>
        <v>#REF!</v>
      </c>
      <c r="C17" s="5" t="e">
        <f>#REF!</f>
        <v>#REF!</v>
      </c>
      <c r="D17" s="5" t="e">
        <f>#REF!</f>
        <v>#REF!</v>
      </c>
      <c r="E17" s="20" t="e">
        <f>#REF!&amp;#REF!&amp;COUNTIF(#REF!,#REF!)</f>
        <v>#REF!</v>
      </c>
      <c r="F17" s="20" t="e">
        <f>#REF!&amp;#REF!&amp;COUNTIF(#REF!,#REF!)</f>
        <v>#REF!</v>
      </c>
      <c r="G17" s="20" t="e">
        <f>#REF!&amp;#REF!&amp;COUNTIF(#REF!,#REF!)</f>
        <v>#REF!</v>
      </c>
      <c r="H17" s="20" t="e">
        <f>#REF!&amp;#REF!&amp;COUNTIF(#REF!,#REF!)</f>
        <v>#REF!</v>
      </c>
      <c r="I17" s="20" t="e">
        <f>#REF!&amp;#REF!&amp;COUNTIF(#REF!,#REF!)</f>
        <v>#REF!</v>
      </c>
      <c r="J17" s="20" t="e">
        <f>#REF!&amp;#REF!&amp;COUNTIF(#REF!,#REF!)</f>
        <v>#REF!</v>
      </c>
      <c r="K17" s="20" t="e">
        <f>#REF!&amp;#REF!&amp;COUNTIF(#REF!,#REF!)</f>
        <v>#REF!</v>
      </c>
      <c r="L17" s="20" t="e">
        <f>#REF!&amp;#REF!&amp;COUNTIF(#REF!,#REF!)</f>
        <v>#REF!</v>
      </c>
      <c r="M17" s="20" t="e">
        <f>#REF!&amp;#REF!&amp;COUNTIF(#REF!,#REF!)</f>
        <v>#REF!</v>
      </c>
      <c r="N17" s="20" t="e">
        <f>#REF!&amp;#REF!&amp;COUNTIF(#REF!,#REF!)</f>
        <v>#REF!</v>
      </c>
      <c r="O17" s="20" t="e">
        <f>#REF!&amp;#REF!&amp;COUNTIF(#REF!,#REF!)</f>
        <v>#REF!</v>
      </c>
      <c r="P17" s="20" t="e">
        <f>#REF!&amp;#REF!&amp;COUNTIF(#REF!,#REF!)</f>
        <v>#REF!</v>
      </c>
      <c r="Q17" s="20" t="e">
        <f>#REF!&amp;#REF!&amp;COUNTIF(#REF!,#REF!)</f>
        <v>#REF!</v>
      </c>
      <c r="R17" s="20" t="e">
        <f>#REF!&amp;#REF!&amp;COUNTIF(#REF!,#REF!)</f>
        <v>#REF!</v>
      </c>
      <c r="S17" s="20" t="e">
        <f>#REF!&amp;#REF!&amp;COUNTIF(#REF!,#REF!)</f>
        <v>#REF!</v>
      </c>
      <c r="T17" s="20" t="e">
        <f>#REF!&amp;#REF!&amp;COUNTIF(#REF!,#REF!)</f>
        <v>#REF!</v>
      </c>
      <c r="U17" s="20" t="e">
        <f>#REF!&amp;#REF!&amp;COUNTIF(#REF!,#REF!)</f>
        <v>#REF!</v>
      </c>
      <c r="V17" s="20" t="e">
        <f>#REF!&amp;#REF!&amp;COUNTIF(#REF!,#REF!)</f>
        <v>#REF!</v>
      </c>
      <c r="W17" s="20" t="e">
        <f>#REF!&amp;#REF!&amp;COUNTIF(#REF!,#REF!)</f>
        <v>#REF!</v>
      </c>
      <c r="X17" s="20" t="e">
        <f>#REF!&amp;#REF!&amp;COUNTIF(#REF!,#REF!)</f>
        <v>#REF!</v>
      </c>
      <c r="Y17" s="20" t="e">
        <f>#REF!&amp;#REF!&amp;COUNTIF(#REF!,#REF!)</f>
        <v>#REF!</v>
      </c>
      <c r="Z17" s="20" t="e">
        <f>#REF!&amp;#REF!&amp;COUNTIF(#REF!,#REF!)</f>
        <v>#REF!</v>
      </c>
      <c r="AA17" s="20" t="e">
        <f>#REF!&amp;#REF!&amp;COUNTIF(#REF!,#REF!)</f>
        <v>#REF!</v>
      </c>
      <c r="AB17" s="20" t="e">
        <f>#REF!&amp;#REF!&amp;COUNTIF(#REF!,#REF!)</f>
        <v>#REF!</v>
      </c>
      <c r="AC17" s="20" t="e">
        <f>#REF!&amp;#REF!&amp;COUNTIF(#REF!,#REF!)</f>
        <v>#REF!</v>
      </c>
      <c r="AD17" s="20" t="e">
        <f>#REF!&amp;#REF!&amp;COUNTIF(#REF!,#REF!)</f>
        <v>#REF!</v>
      </c>
      <c r="AE17" s="20" t="e">
        <f>#REF!&amp;#REF!&amp;COUNTIF(#REF!,#REF!)</f>
        <v>#REF!</v>
      </c>
      <c r="AF17" s="20" t="e">
        <f>#REF!&amp;#REF!&amp;COUNTIF(#REF!,#REF!)</f>
        <v>#REF!</v>
      </c>
      <c r="AG17" s="20" t="e">
        <f>#REF!&amp;#REF!&amp;COUNTIF(#REF!,#REF!)</f>
        <v>#REF!</v>
      </c>
      <c r="AH17" s="20" t="e">
        <f>#REF!&amp;#REF!&amp;COUNTIF(#REF!,#REF!)</f>
        <v>#REF!</v>
      </c>
      <c r="AI17" s="20" t="e">
        <f>#REF!&amp;#REF!&amp;COUNTIF(#REF!,#REF!)</f>
        <v>#REF!</v>
      </c>
      <c r="AJ17" s="3">
        <v>17</v>
      </c>
      <c r="AM17" s="30" t="e">
        <f t="shared" si="4"/>
        <v>#REF!</v>
      </c>
      <c r="AN17" s="27" t="e">
        <f t="shared" si="7"/>
        <v>#REF!</v>
      </c>
      <c r="AP17" s="46" t="str">
        <f t="shared" si="8"/>
        <v/>
      </c>
      <c r="AQ17" s="31" t="str">
        <f t="shared" si="8"/>
        <v/>
      </c>
      <c r="AR17" s="31" t="str">
        <f t="shared" si="8"/>
        <v/>
      </c>
      <c r="AS17" s="46" t="str">
        <f t="shared" si="8"/>
        <v/>
      </c>
      <c r="AT17" s="31" t="str">
        <f t="shared" si="8"/>
        <v/>
      </c>
      <c r="AU17" s="31" t="str">
        <f t="shared" si="8"/>
        <v/>
      </c>
      <c r="AV17" s="46" t="str">
        <f t="shared" si="9"/>
        <v/>
      </c>
      <c r="AW17" s="31" t="str">
        <f t="shared" si="9"/>
        <v/>
      </c>
      <c r="AX17" s="32" t="str">
        <f t="shared" si="9"/>
        <v/>
      </c>
      <c r="BB17" s="67" t="str">
        <f t="shared" si="5"/>
        <v/>
      </c>
      <c r="BC17" s="67" t="str">
        <f t="shared" si="6"/>
        <v/>
      </c>
      <c r="BD17" s="60" t="str">
        <f>IFERROR(INDEX($E$3:$AI$3,MATCH($AN17&amp;BD$8&amp;ROW(K10),$E$4:$AI$4,0))&amp;"/"&amp;$AN$3,"")</f>
        <v/>
      </c>
    </row>
    <row r="18" spans="1:56" ht="21" thickBot="1">
      <c r="A18" s="7">
        <f t="shared" si="0"/>
        <v>15</v>
      </c>
      <c r="B18" s="19" t="e">
        <f>#REF!</f>
        <v>#REF!</v>
      </c>
      <c r="C18" s="5" t="e">
        <f>#REF!</f>
        <v>#REF!</v>
      </c>
      <c r="D18" s="5" t="e">
        <f>#REF!</f>
        <v>#REF!</v>
      </c>
      <c r="E18" s="20" t="e">
        <f>#REF!&amp;#REF!&amp;COUNTIF(#REF!,#REF!)</f>
        <v>#REF!</v>
      </c>
      <c r="F18" s="20" t="e">
        <f>#REF!&amp;#REF!&amp;COUNTIF(#REF!,#REF!)</f>
        <v>#REF!</v>
      </c>
      <c r="G18" s="20" t="e">
        <f>#REF!&amp;#REF!&amp;COUNTIF(#REF!,#REF!)</f>
        <v>#REF!</v>
      </c>
      <c r="H18" s="20" t="e">
        <f>#REF!&amp;#REF!&amp;COUNTIF(#REF!,#REF!)</f>
        <v>#REF!</v>
      </c>
      <c r="I18" s="20" t="e">
        <f>#REF!&amp;#REF!&amp;COUNTIF(#REF!,#REF!)</f>
        <v>#REF!</v>
      </c>
      <c r="J18" s="20" t="e">
        <f>#REF!&amp;#REF!&amp;COUNTIF(#REF!,#REF!)</f>
        <v>#REF!</v>
      </c>
      <c r="K18" s="20" t="e">
        <f>#REF!&amp;#REF!&amp;COUNTIF(#REF!,#REF!)</f>
        <v>#REF!</v>
      </c>
      <c r="L18" s="20" t="e">
        <f>#REF!&amp;#REF!&amp;COUNTIF(#REF!,#REF!)</f>
        <v>#REF!</v>
      </c>
      <c r="M18" s="20" t="e">
        <f>#REF!&amp;#REF!&amp;COUNTIF(#REF!,#REF!)</f>
        <v>#REF!</v>
      </c>
      <c r="N18" s="20" t="e">
        <f>#REF!&amp;#REF!&amp;COUNTIF(#REF!,#REF!)</f>
        <v>#REF!</v>
      </c>
      <c r="O18" s="20" t="e">
        <f>#REF!&amp;#REF!&amp;COUNTIF(#REF!,#REF!)</f>
        <v>#REF!</v>
      </c>
      <c r="P18" s="20" t="e">
        <f>#REF!&amp;#REF!&amp;COUNTIF(#REF!,#REF!)</f>
        <v>#REF!</v>
      </c>
      <c r="Q18" s="20" t="e">
        <f>#REF!&amp;#REF!&amp;COUNTIF(#REF!,#REF!)</f>
        <v>#REF!</v>
      </c>
      <c r="R18" s="20" t="e">
        <f>#REF!&amp;#REF!&amp;COUNTIF(#REF!,#REF!)</f>
        <v>#REF!</v>
      </c>
      <c r="S18" s="20" t="e">
        <f>#REF!&amp;#REF!&amp;COUNTIF(#REF!,#REF!)</f>
        <v>#REF!</v>
      </c>
      <c r="T18" s="20" t="e">
        <f>#REF!&amp;#REF!&amp;COUNTIF(#REF!,#REF!)</f>
        <v>#REF!</v>
      </c>
      <c r="U18" s="20" t="e">
        <f>#REF!&amp;#REF!&amp;COUNTIF(#REF!,#REF!)</f>
        <v>#REF!</v>
      </c>
      <c r="V18" s="20" t="e">
        <f>#REF!&amp;#REF!&amp;COUNTIF(#REF!,#REF!)</f>
        <v>#REF!</v>
      </c>
      <c r="W18" s="20" t="e">
        <f>#REF!&amp;#REF!&amp;COUNTIF(#REF!,#REF!)</f>
        <v>#REF!</v>
      </c>
      <c r="X18" s="20" t="e">
        <f>#REF!&amp;#REF!&amp;COUNTIF(#REF!,#REF!)</f>
        <v>#REF!</v>
      </c>
      <c r="Y18" s="20" t="e">
        <f>#REF!&amp;#REF!&amp;COUNTIF(#REF!,#REF!)</f>
        <v>#REF!</v>
      </c>
      <c r="Z18" s="20" t="e">
        <f>#REF!&amp;#REF!&amp;COUNTIF(#REF!,#REF!)</f>
        <v>#REF!</v>
      </c>
      <c r="AA18" s="20" t="e">
        <f>#REF!&amp;#REF!&amp;COUNTIF(#REF!,#REF!)</f>
        <v>#REF!</v>
      </c>
      <c r="AB18" s="20" t="e">
        <f>#REF!&amp;#REF!&amp;COUNTIF(#REF!,#REF!)</f>
        <v>#REF!</v>
      </c>
      <c r="AC18" s="20" t="e">
        <f>#REF!&amp;#REF!&amp;COUNTIF(#REF!,#REF!)</f>
        <v>#REF!</v>
      </c>
      <c r="AD18" s="20" t="e">
        <f>#REF!&amp;#REF!&amp;COUNTIF(#REF!,#REF!)</f>
        <v>#REF!</v>
      </c>
      <c r="AE18" s="20" t="e">
        <f>#REF!&amp;#REF!&amp;COUNTIF(#REF!,#REF!)</f>
        <v>#REF!</v>
      </c>
      <c r="AF18" s="20" t="e">
        <f>#REF!&amp;#REF!&amp;COUNTIF(#REF!,#REF!)</f>
        <v>#REF!</v>
      </c>
      <c r="AG18" s="20" t="e">
        <f>#REF!&amp;#REF!&amp;COUNTIF(#REF!,#REF!)</f>
        <v>#REF!</v>
      </c>
      <c r="AH18" s="20" t="e">
        <f>#REF!&amp;#REF!&amp;COUNTIF(#REF!,#REF!)</f>
        <v>#REF!</v>
      </c>
      <c r="AI18" s="20" t="e">
        <f>#REF!&amp;#REF!&amp;COUNTIF(#REF!,#REF!)</f>
        <v>#REF!</v>
      </c>
      <c r="AJ18" s="3">
        <v>18</v>
      </c>
      <c r="AM18" s="51" t="e">
        <f>AM17</f>
        <v>#REF!</v>
      </c>
      <c r="AN18" s="28" t="e">
        <f>AN17</f>
        <v>#REF!</v>
      </c>
      <c r="AO18" s="26"/>
      <c r="AP18" s="52" t="str">
        <f t="shared" ref="AP18:AU18" si="10">IFERROR(INDEX($E$3:$AI$3,MATCH($AN18&amp;AP$8&amp;ROW(A13),$E$4:$AI$4,0))&amp;"/"&amp;$AN$3,"")</f>
        <v/>
      </c>
      <c r="AQ18" s="53" t="str">
        <f t="shared" si="10"/>
        <v/>
      </c>
      <c r="AR18" s="53" t="str">
        <f t="shared" si="10"/>
        <v/>
      </c>
      <c r="AS18" s="52" t="str">
        <f t="shared" si="10"/>
        <v/>
      </c>
      <c r="AT18" s="53" t="str">
        <f t="shared" si="10"/>
        <v/>
      </c>
      <c r="AU18" s="53" t="str">
        <f t="shared" si="10"/>
        <v/>
      </c>
      <c r="AV18" s="52" t="str">
        <f>IFERROR(INDEX($E$3:$AI$3,MATCH($AN18&amp;AV$8&amp;ROW(G13),$E$4:$AI$4,0))&amp;"/"&amp;$AN$3,"")</f>
        <v/>
      </c>
      <c r="AW18" s="53" t="str">
        <f>IFERROR(INDEX($E$3:$AI$3,MATCH($AN18&amp;AW$8&amp;ROW(H13),$E$4:$AI$4,0))&amp;"/"&amp;$AN$3,"")</f>
        <v/>
      </c>
      <c r="AX18" s="54" t="str">
        <f>IFERROR(INDEX($E$3:$AI$3,MATCH($AN18&amp;AX$8&amp;ROW(I13),$E$4:$AI$4,0))&amp;"/"&amp;$AN$3,"")</f>
        <v/>
      </c>
      <c r="AZ18" s="26" t="str">
        <f>AP18</f>
        <v/>
      </c>
      <c r="BA18" s="29"/>
      <c r="BB18" s="67" t="str">
        <f t="shared" si="5"/>
        <v/>
      </c>
      <c r="BC18" s="67" t="str">
        <f t="shared" si="6"/>
        <v/>
      </c>
      <c r="BD18" s="61" t="str">
        <f>IFERROR(INDEX($E$3:$AI$3,MATCH($AN18&amp;BD$8&amp;ROW(K11),$E$4:$AI$4,0))&amp;"/"&amp;$AN$3,"")</f>
        <v/>
      </c>
    </row>
    <row r="19" spans="1:56" ht="21" thickBot="1">
      <c r="A19" s="7">
        <f>A18+1</f>
        <v>16</v>
      </c>
      <c r="B19" s="19" t="e">
        <f>#REF!</f>
        <v>#REF!</v>
      </c>
      <c r="C19" s="5" t="e">
        <f>#REF!</f>
        <v>#REF!</v>
      </c>
      <c r="D19" s="5" t="e">
        <f>#REF!</f>
        <v>#REF!</v>
      </c>
      <c r="E19" s="20" t="e">
        <f>#REF!&amp;#REF!&amp;COUNTIF(#REF!,#REF!)</f>
        <v>#REF!</v>
      </c>
      <c r="F19" s="20" t="e">
        <f>#REF!&amp;#REF!&amp;COUNTIF(#REF!,#REF!)</f>
        <v>#REF!</v>
      </c>
      <c r="G19" s="20" t="e">
        <f>#REF!&amp;#REF!&amp;COUNTIF(#REF!,#REF!)</f>
        <v>#REF!</v>
      </c>
      <c r="H19" s="20" t="e">
        <f>#REF!&amp;#REF!&amp;COUNTIF(#REF!,#REF!)</f>
        <v>#REF!</v>
      </c>
      <c r="I19" s="20" t="e">
        <f>#REF!&amp;#REF!&amp;COUNTIF(#REF!,#REF!)</f>
        <v>#REF!</v>
      </c>
      <c r="J19" s="20" t="e">
        <f>#REF!&amp;#REF!&amp;COUNTIF(#REF!,#REF!)</f>
        <v>#REF!</v>
      </c>
      <c r="K19" s="20" t="e">
        <f>#REF!&amp;#REF!&amp;COUNTIF(#REF!,#REF!)</f>
        <v>#REF!</v>
      </c>
      <c r="L19" s="20" t="e">
        <f>#REF!&amp;#REF!&amp;COUNTIF(#REF!,#REF!)</f>
        <v>#REF!</v>
      </c>
      <c r="M19" s="20" t="e">
        <f>#REF!&amp;#REF!&amp;COUNTIF(#REF!,#REF!)</f>
        <v>#REF!</v>
      </c>
      <c r="N19" s="20" t="e">
        <f>#REF!&amp;#REF!&amp;COUNTIF(#REF!,#REF!)</f>
        <v>#REF!</v>
      </c>
      <c r="O19" s="20" t="e">
        <f>#REF!&amp;#REF!&amp;COUNTIF(#REF!,#REF!)</f>
        <v>#REF!</v>
      </c>
      <c r="P19" s="20" t="e">
        <f>#REF!&amp;#REF!&amp;COUNTIF(#REF!,#REF!)</f>
        <v>#REF!</v>
      </c>
      <c r="Q19" s="20" t="e">
        <f>#REF!&amp;#REF!&amp;COUNTIF(#REF!,#REF!)</f>
        <v>#REF!</v>
      </c>
      <c r="R19" s="20" t="e">
        <f>#REF!&amp;#REF!&amp;COUNTIF(#REF!,#REF!)</f>
        <v>#REF!</v>
      </c>
      <c r="S19" s="20" t="e">
        <f>#REF!&amp;#REF!&amp;COUNTIF(#REF!,#REF!)</f>
        <v>#REF!</v>
      </c>
      <c r="T19" s="20" t="e">
        <f>#REF!&amp;#REF!&amp;COUNTIF(#REF!,#REF!)</f>
        <v>#REF!</v>
      </c>
      <c r="U19" s="20" t="e">
        <f>#REF!&amp;#REF!&amp;COUNTIF(#REF!,#REF!)</f>
        <v>#REF!</v>
      </c>
      <c r="V19" s="20" t="e">
        <f>#REF!&amp;#REF!&amp;COUNTIF(#REF!,#REF!)</f>
        <v>#REF!</v>
      </c>
      <c r="W19" s="20" t="e">
        <f>#REF!&amp;#REF!&amp;COUNTIF(#REF!,#REF!)</f>
        <v>#REF!</v>
      </c>
      <c r="X19" s="20" t="e">
        <f>#REF!&amp;#REF!&amp;COUNTIF(#REF!,#REF!)</f>
        <v>#REF!</v>
      </c>
      <c r="Y19" s="20" t="e">
        <f>#REF!&amp;#REF!&amp;COUNTIF(#REF!,#REF!)</f>
        <v>#REF!</v>
      </c>
      <c r="Z19" s="20" t="e">
        <f>#REF!&amp;#REF!&amp;COUNTIF(#REF!,#REF!)</f>
        <v>#REF!</v>
      </c>
      <c r="AA19" s="20" t="e">
        <f>#REF!&amp;#REF!&amp;COUNTIF(#REF!,#REF!)</f>
        <v>#REF!</v>
      </c>
      <c r="AB19" s="20" t="e">
        <f>#REF!&amp;#REF!&amp;COUNTIF(#REF!,#REF!)</f>
        <v>#REF!</v>
      </c>
      <c r="AC19" s="20" t="e">
        <f>#REF!&amp;#REF!&amp;COUNTIF(#REF!,#REF!)</f>
        <v>#REF!</v>
      </c>
      <c r="AD19" s="20" t="e">
        <f>#REF!&amp;#REF!&amp;COUNTIF(#REF!,#REF!)</f>
        <v>#REF!</v>
      </c>
      <c r="AE19" s="20" t="e">
        <f>#REF!&amp;#REF!&amp;COUNTIF(#REF!,#REF!)</f>
        <v>#REF!</v>
      </c>
      <c r="AF19" s="20" t="e">
        <f>#REF!&amp;#REF!&amp;COUNTIF(#REF!,#REF!)</f>
        <v>#REF!</v>
      </c>
      <c r="AG19" s="20" t="e">
        <f>#REF!&amp;#REF!&amp;COUNTIF(#REF!,#REF!)</f>
        <v>#REF!</v>
      </c>
      <c r="AH19" s="20" t="e">
        <f>#REF!&amp;#REF!&amp;COUNTIF(#REF!,#REF!)</f>
        <v>#REF!</v>
      </c>
      <c r="AI19" s="20" t="e">
        <f>#REF!&amp;#REF!&amp;COUNTIF(#REF!,#REF!)</f>
        <v>#REF!</v>
      </c>
      <c r="AJ19" s="3">
        <v>19</v>
      </c>
      <c r="BB19" s="67" t="str">
        <f>BB18</f>
        <v/>
      </c>
      <c r="BC19" s="67" t="str">
        <f>BC18</f>
        <v/>
      </c>
    </row>
    <row r="20" spans="1:56" ht="20.25">
      <c r="A20" s="7">
        <f>A19+1</f>
        <v>17</v>
      </c>
      <c r="B20" s="19" t="e">
        <f>#REF!</f>
        <v>#REF!</v>
      </c>
      <c r="C20" s="5" t="e">
        <f>#REF!</f>
        <v>#REF!</v>
      </c>
      <c r="D20" s="5" t="e">
        <f>#REF!</f>
        <v>#REF!</v>
      </c>
      <c r="E20" s="20" t="e">
        <f>#REF!&amp;#REF!&amp;COUNTIF(#REF!,#REF!)</f>
        <v>#REF!</v>
      </c>
      <c r="F20" s="20" t="e">
        <f>#REF!&amp;#REF!&amp;COUNTIF(#REF!,#REF!)</f>
        <v>#REF!</v>
      </c>
      <c r="G20" s="20" t="e">
        <f>#REF!&amp;#REF!&amp;COUNTIF(#REF!,#REF!)</f>
        <v>#REF!</v>
      </c>
      <c r="H20" s="20" t="e">
        <f>#REF!&amp;#REF!&amp;COUNTIF(#REF!,#REF!)</f>
        <v>#REF!</v>
      </c>
      <c r="I20" s="20" t="e">
        <f>#REF!&amp;#REF!&amp;COUNTIF(#REF!,#REF!)</f>
        <v>#REF!</v>
      </c>
      <c r="J20" s="20" t="e">
        <f>#REF!&amp;#REF!&amp;COUNTIF(#REF!,#REF!)</f>
        <v>#REF!</v>
      </c>
      <c r="K20" s="20" t="e">
        <f>#REF!&amp;#REF!&amp;COUNTIF(#REF!,#REF!)</f>
        <v>#REF!</v>
      </c>
      <c r="L20" s="20" t="e">
        <f>#REF!&amp;#REF!&amp;COUNTIF(#REF!,#REF!)</f>
        <v>#REF!</v>
      </c>
      <c r="M20" s="20" t="e">
        <f>#REF!&amp;#REF!&amp;COUNTIF(#REF!,#REF!)</f>
        <v>#REF!</v>
      </c>
      <c r="N20" s="20" t="e">
        <f>#REF!&amp;#REF!&amp;COUNTIF(#REF!,#REF!)</f>
        <v>#REF!</v>
      </c>
      <c r="O20" s="20" t="e">
        <f>#REF!&amp;#REF!&amp;COUNTIF(#REF!,#REF!)</f>
        <v>#REF!</v>
      </c>
      <c r="P20" s="20" t="e">
        <f>#REF!&amp;#REF!&amp;COUNTIF(#REF!,#REF!)</f>
        <v>#REF!</v>
      </c>
      <c r="Q20" s="20" t="e">
        <f>#REF!&amp;#REF!&amp;COUNTIF(#REF!,#REF!)</f>
        <v>#REF!</v>
      </c>
      <c r="R20" s="20" t="e">
        <f>#REF!&amp;#REF!&amp;COUNTIF(#REF!,#REF!)</f>
        <v>#REF!</v>
      </c>
      <c r="S20" s="20" t="e">
        <f>#REF!&amp;#REF!&amp;COUNTIF(#REF!,#REF!)</f>
        <v>#REF!</v>
      </c>
      <c r="T20" s="20" t="e">
        <f>#REF!&amp;#REF!&amp;COUNTIF(#REF!,#REF!)</f>
        <v>#REF!</v>
      </c>
      <c r="U20" s="20" t="e">
        <f>#REF!&amp;#REF!&amp;COUNTIF(#REF!,#REF!)</f>
        <v>#REF!</v>
      </c>
      <c r="V20" s="20" t="e">
        <f>#REF!&amp;#REF!&amp;COUNTIF(#REF!,#REF!)</f>
        <v>#REF!</v>
      </c>
      <c r="W20" s="20" t="e">
        <f>#REF!&amp;#REF!&amp;COUNTIF(#REF!,#REF!)</f>
        <v>#REF!</v>
      </c>
      <c r="X20" s="20" t="e">
        <f>#REF!&amp;#REF!&amp;COUNTIF(#REF!,#REF!)</f>
        <v>#REF!</v>
      </c>
      <c r="Y20" s="20" t="e">
        <f>#REF!&amp;#REF!&amp;COUNTIF(#REF!,#REF!)</f>
        <v>#REF!</v>
      </c>
      <c r="Z20" s="20" t="e">
        <f>#REF!&amp;#REF!&amp;COUNTIF(#REF!,#REF!)</f>
        <v>#REF!</v>
      </c>
      <c r="AA20" s="20" t="e">
        <f>#REF!&amp;#REF!&amp;COUNTIF(#REF!,#REF!)</f>
        <v>#REF!</v>
      </c>
      <c r="AB20" s="20" t="e">
        <f>#REF!&amp;#REF!&amp;COUNTIF(#REF!,#REF!)</f>
        <v>#REF!</v>
      </c>
      <c r="AC20" s="20" t="e">
        <f>#REF!&amp;#REF!&amp;COUNTIF(#REF!,#REF!)</f>
        <v>#REF!</v>
      </c>
      <c r="AD20" s="20" t="e">
        <f>#REF!&amp;#REF!&amp;COUNTIF(#REF!,#REF!)</f>
        <v>#REF!</v>
      </c>
      <c r="AE20" s="20" t="e">
        <f>#REF!&amp;#REF!&amp;COUNTIF(#REF!,#REF!)</f>
        <v>#REF!</v>
      </c>
      <c r="AF20" s="20" t="e">
        <f>#REF!&amp;#REF!&amp;COUNTIF(#REF!,#REF!)</f>
        <v>#REF!</v>
      </c>
      <c r="AG20" s="20" t="e">
        <f>#REF!&amp;#REF!&amp;COUNTIF(#REF!,#REF!)</f>
        <v>#REF!</v>
      </c>
      <c r="AH20" s="20" t="e">
        <f>#REF!&amp;#REF!&amp;COUNTIF(#REF!,#REF!)</f>
        <v>#REF!</v>
      </c>
      <c r="AI20" s="20" t="e">
        <f>#REF!&amp;#REF!&amp;COUNTIF(#REF!,#REF!)</f>
        <v>#REF!</v>
      </c>
      <c r="AJ20" s="3">
        <v>20</v>
      </c>
      <c r="AM20" s="39"/>
      <c r="AN20" s="40"/>
      <c r="AO20" s="36"/>
      <c r="AP20" s="45" t="s">
        <v>247</v>
      </c>
      <c r="AQ20" s="37" t="s">
        <v>248</v>
      </c>
      <c r="AR20" s="37" t="s">
        <v>249</v>
      </c>
      <c r="AS20" s="45" t="s">
        <v>250</v>
      </c>
      <c r="AT20" s="37" t="s">
        <v>251</v>
      </c>
      <c r="AU20" s="37" t="s">
        <v>252</v>
      </c>
      <c r="AV20" s="45" t="s">
        <v>253</v>
      </c>
      <c r="AW20" s="37" t="s">
        <v>254</v>
      </c>
      <c r="AX20" s="38" t="s">
        <v>255</v>
      </c>
      <c r="AZ20" s="35" t="str">
        <f>$AN$3&amp;" Total"</f>
        <v>7/2021 Total</v>
      </c>
      <c r="BA20" s="47"/>
      <c r="BB20" s="66" t="str">
        <f>IF(COUNTBLANK(AP21:AX21)=9,"","Leave")</f>
        <v/>
      </c>
      <c r="BC20" s="66" t="str">
        <f>IFERROR(VLOOKUP(AM21,#REF!,4,FALSE),"")</f>
        <v/>
      </c>
      <c r="BD20" s="58" t="s">
        <v>256</v>
      </c>
    </row>
    <row r="21" spans="1:56" ht="20.25">
      <c r="B21" s="19" t="e">
        <f>#REF!</f>
        <v>#REF!</v>
      </c>
      <c r="C21" s="5" t="e">
        <f>#REF!</f>
        <v>#REF!</v>
      </c>
      <c r="D21" s="5" t="e">
        <f>#REF!</f>
        <v>#REF!</v>
      </c>
      <c r="E21" s="20" t="e">
        <f>#REF!&amp;#REF!&amp;COUNTIF(#REF!,#REF!)</f>
        <v>#REF!</v>
      </c>
      <c r="F21" s="20" t="e">
        <f>#REF!&amp;#REF!&amp;COUNTIF(#REF!,#REF!)</f>
        <v>#REF!</v>
      </c>
      <c r="G21" s="20" t="e">
        <f>#REF!&amp;#REF!&amp;COUNTIF(#REF!,#REF!)</f>
        <v>#REF!</v>
      </c>
      <c r="H21" s="20" t="e">
        <f>#REF!&amp;#REF!&amp;COUNTIF(#REF!,#REF!)</f>
        <v>#REF!</v>
      </c>
      <c r="I21" s="20" t="e">
        <f>#REF!&amp;#REF!&amp;COUNTIF(#REF!,#REF!)</f>
        <v>#REF!</v>
      </c>
      <c r="J21" s="20" t="e">
        <f>#REF!&amp;#REF!&amp;COUNTIF(#REF!,#REF!)</f>
        <v>#REF!</v>
      </c>
      <c r="K21" s="20" t="e">
        <f>#REF!&amp;#REF!&amp;COUNTIF(#REF!,#REF!)</f>
        <v>#REF!</v>
      </c>
      <c r="L21" s="20" t="e">
        <f>#REF!&amp;#REF!&amp;COUNTIF(#REF!,#REF!)</f>
        <v>#REF!</v>
      </c>
      <c r="M21" s="20" t="e">
        <f>#REF!&amp;#REF!&amp;COUNTIF(#REF!,#REF!)</f>
        <v>#REF!</v>
      </c>
      <c r="N21" s="20" t="e">
        <f>#REF!&amp;#REF!&amp;COUNTIF(#REF!,#REF!)</f>
        <v>#REF!</v>
      </c>
      <c r="O21" s="20" t="e">
        <f>#REF!&amp;#REF!&amp;COUNTIF(#REF!,#REF!)</f>
        <v>#REF!</v>
      </c>
      <c r="P21" s="20" t="e">
        <f>#REF!&amp;#REF!&amp;COUNTIF(#REF!,#REF!)</f>
        <v>#REF!</v>
      </c>
      <c r="Q21" s="20" t="e">
        <f>#REF!&amp;#REF!&amp;COUNTIF(#REF!,#REF!)</f>
        <v>#REF!</v>
      </c>
      <c r="R21" s="20" t="e">
        <f>#REF!&amp;#REF!&amp;COUNTIF(#REF!,#REF!)</f>
        <v>#REF!</v>
      </c>
      <c r="S21" s="20" t="e">
        <f>#REF!&amp;#REF!&amp;COUNTIF(#REF!,#REF!)</f>
        <v>#REF!</v>
      </c>
      <c r="T21" s="20" t="e">
        <f>#REF!&amp;#REF!&amp;COUNTIF(#REF!,#REF!)</f>
        <v>#REF!</v>
      </c>
      <c r="U21" s="20" t="e">
        <f>#REF!&amp;#REF!&amp;COUNTIF(#REF!,#REF!)</f>
        <v>#REF!</v>
      </c>
      <c r="V21" s="20" t="e">
        <f>#REF!&amp;#REF!&amp;COUNTIF(#REF!,#REF!)</f>
        <v>#REF!</v>
      </c>
      <c r="W21" s="20" t="e">
        <f>#REF!&amp;#REF!&amp;COUNTIF(#REF!,#REF!)</f>
        <v>#REF!</v>
      </c>
      <c r="X21" s="20" t="e">
        <f>#REF!&amp;#REF!&amp;COUNTIF(#REF!,#REF!)</f>
        <v>#REF!</v>
      </c>
      <c r="Y21" s="20" t="e">
        <f>#REF!&amp;#REF!&amp;COUNTIF(#REF!,#REF!)</f>
        <v>#REF!</v>
      </c>
      <c r="Z21" s="20" t="e">
        <f>#REF!&amp;#REF!&amp;COUNTIF(#REF!,#REF!)</f>
        <v>#REF!</v>
      </c>
      <c r="AA21" s="20" t="e">
        <f>#REF!&amp;#REF!&amp;COUNTIF(#REF!,#REF!)</f>
        <v>#REF!</v>
      </c>
      <c r="AB21" s="20" t="e">
        <f>#REF!&amp;#REF!&amp;COUNTIF(#REF!,#REF!)</f>
        <v>#REF!</v>
      </c>
      <c r="AC21" s="20" t="e">
        <f>#REF!&amp;#REF!&amp;COUNTIF(#REF!,#REF!)</f>
        <v>#REF!</v>
      </c>
      <c r="AD21" s="20" t="e">
        <f>#REF!&amp;#REF!&amp;COUNTIF(#REF!,#REF!)</f>
        <v>#REF!</v>
      </c>
      <c r="AE21" s="20" t="e">
        <f>#REF!&amp;#REF!&amp;COUNTIF(#REF!,#REF!)</f>
        <v>#REF!</v>
      </c>
      <c r="AF21" s="20" t="e">
        <f>#REF!&amp;#REF!&amp;COUNTIF(#REF!,#REF!)</f>
        <v>#REF!</v>
      </c>
      <c r="AG21" s="20" t="e">
        <f>#REF!&amp;#REF!&amp;COUNTIF(#REF!,#REF!)</f>
        <v>#REF!</v>
      </c>
      <c r="AH21" s="20" t="e">
        <f>#REF!&amp;#REF!&amp;COUNTIF(#REF!,#REF!)</f>
        <v>#REF!</v>
      </c>
      <c r="AI21" s="20" t="e">
        <f>#REF!&amp;#REF!&amp;COUNTIF(#REF!,#REF!)</f>
        <v>#REF!</v>
      </c>
      <c r="AJ21" s="3">
        <v>21</v>
      </c>
      <c r="AM21" s="25" t="e">
        <f>B5</f>
        <v>#REF!</v>
      </c>
      <c r="AN21" s="34" t="e">
        <f>D5</f>
        <v>#REF!</v>
      </c>
      <c r="AP21" s="46" t="str">
        <f t="shared" ref="AP21:AX26" si="11">IFERROR(INDEX($E$3:$AI$3,MATCH($AN21&amp;AP$8&amp;ROW(A1),$E$5:$AI$5,0))&amp;"/"&amp;$AN$3,"")</f>
        <v/>
      </c>
      <c r="AQ21" s="31" t="str">
        <f t="shared" si="11"/>
        <v/>
      </c>
      <c r="AR21" s="31" t="str">
        <f t="shared" si="11"/>
        <v/>
      </c>
      <c r="AS21" s="46" t="str">
        <f t="shared" si="11"/>
        <v/>
      </c>
      <c r="AT21" s="31" t="str">
        <f t="shared" si="11"/>
        <v/>
      </c>
      <c r="AU21" s="31" t="str">
        <f t="shared" si="11"/>
        <v/>
      </c>
      <c r="AV21" s="46" t="str">
        <f t="shared" si="11"/>
        <v/>
      </c>
      <c r="AW21" s="31" t="str">
        <f t="shared" si="11"/>
        <v/>
      </c>
      <c r="AX21" s="32" t="str">
        <f t="shared" si="11"/>
        <v/>
      </c>
      <c r="AZ21" s="48" t="s">
        <v>257</v>
      </c>
      <c r="BA21" s="49">
        <f>COUNTA(AP21:AP30)-COUNTBLANK(AP21:AP30)+(COUNTA(AQ21:AQ30)-COUNTBLANK(AQ21:AQ30))*0.5+(COUNTA(AR21:AR30)-COUNTBLANK(AR21:AR30))*0.5</f>
        <v>0</v>
      </c>
      <c r="BB21" s="67" t="str">
        <f>BB20</f>
        <v/>
      </c>
      <c r="BC21" s="67" t="str">
        <f>BC20</f>
        <v/>
      </c>
      <c r="BD21" s="59" t="str">
        <f t="shared" ref="BD21:BD26" si="12">IFERROR(INDEX($E$3:$AI$3,MATCH($AN21&amp;BD$8&amp;ROW(K1),$E$5:$AI$5,0))&amp;"/"&amp;$AN$3,"")</f>
        <v/>
      </c>
    </row>
    <row r="22" spans="1:56" ht="20.25">
      <c r="B22" s="19" t="e">
        <f>#REF!</f>
        <v>#REF!</v>
      </c>
      <c r="C22" s="5" t="e">
        <f>#REF!</f>
        <v>#REF!</v>
      </c>
      <c r="D22" s="5" t="e">
        <f>#REF!</f>
        <v>#REF!</v>
      </c>
      <c r="E22" s="20" t="e">
        <f>#REF!&amp;#REF!&amp;COUNTIF(#REF!,#REF!)</f>
        <v>#REF!</v>
      </c>
      <c r="F22" s="20" t="e">
        <f>#REF!&amp;#REF!&amp;COUNTIF(#REF!,#REF!)</f>
        <v>#REF!</v>
      </c>
      <c r="G22" s="20" t="e">
        <f>#REF!&amp;#REF!&amp;COUNTIF(#REF!,#REF!)</f>
        <v>#REF!</v>
      </c>
      <c r="H22" s="20" t="e">
        <f>#REF!&amp;#REF!&amp;COUNTIF(#REF!,#REF!)</f>
        <v>#REF!</v>
      </c>
      <c r="I22" s="20" t="e">
        <f>#REF!&amp;#REF!&amp;COUNTIF(#REF!,#REF!)</f>
        <v>#REF!</v>
      </c>
      <c r="J22" s="20" t="e">
        <f>#REF!&amp;#REF!&amp;COUNTIF(#REF!,#REF!)</f>
        <v>#REF!</v>
      </c>
      <c r="K22" s="20" t="e">
        <f>#REF!&amp;#REF!&amp;COUNTIF(#REF!,#REF!)</f>
        <v>#REF!</v>
      </c>
      <c r="L22" s="20" t="e">
        <f>#REF!&amp;#REF!&amp;COUNTIF(#REF!,#REF!)</f>
        <v>#REF!</v>
      </c>
      <c r="M22" s="20" t="e">
        <f>#REF!&amp;#REF!&amp;COUNTIF(#REF!,#REF!)</f>
        <v>#REF!</v>
      </c>
      <c r="N22" s="20" t="e">
        <f>#REF!&amp;#REF!&amp;COUNTIF(#REF!,#REF!)</f>
        <v>#REF!</v>
      </c>
      <c r="O22" s="20" t="e">
        <f>#REF!&amp;#REF!&amp;COUNTIF(#REF!,#REF!)</f>
        <v>#REF!</v>
      </c>
      <c r="P22" s="20" t="e">
        <f>#REF!&amp;#REF!&amp;COUNTIF(#REF!,#REF!)</f>
        <v>#REF!</v>
      </c>
      <c r="Q22" s="20" t="e">
        <f>#REF!&amp;#REF!&amp;COUNTIF(#REF!,#REF!)</f>
        <v>#REF!</v>
      </c>
      <c r="R22" s="20" t="e">
        <f>#REF!&amp;#REF!&amp;COUNTIF(#REF!,#REF!)</f>
        <v>#REF!</v>
      </c>
      <c r="S22" s="20" t="e">
        <f>#REF!&amp;#REF!&amp;COUNTIF(#REF!,#REF!)</f>
        <v>#REF!</v>
      </c>
      <c r="T22" s="20" t="e">
        <f>#REF!&amp;#REF!&amp;COUNTIF(#REF!,#REF!)</f>
        <v>#REF!</v>
      </c>
      <c r="U22" s="20" t="e">
        <f>#REF!&amp;#REF!&amp;COUNTIF(#REF!,#REF!)</f>
        <v>#REF!</v>
      </c>
      <c r="V22" s="20" t="e">
        <f>#REF!&amp;#REF!&amp;COUNTIF(#REF!,#REF!)</f>
        <v>#REF!</v>
      </c>
      <c r="W22" s="20" t="e">
        <f>#REF!&amp;#REF!&amp;COUNTIF(#REF!,#REF!)</f>
        <v>#REF!</v>
      </c>
      <c r="X22" s="20" t="e">
        <f>#REF!&amp;#REF!&amp;COUNTIF(#REF!,#REF!)</f>
        <v>#REF!</v>
      </c>
      <c r="Y22" s="20" t="e">
        <f>#REF!&amp;#REF!&amp;COUNTIF(#REF!,#REF!)</f>
        <v>#REF!</v>
      </c>
      <c r="Z22" s="20" t="e">
        <f>#REF!&amp;#REF!&amp;COUNTIF(#REF!,#REF!)</f>
        <v>#REF!</v>
      </c>
      <c r="AA22" s="20" t="e">
        <f>#REF!&amp;#REF!&amp;COUNTIF(#REF!,#REF!)</f>
        <v>#REF!</v>
      </c>
      <c r="AB22" s="20" t="e">
        <f>#REF!&amp;#REF!&amp;COUNTIF(#REF!,#REF!)</f>
        <v>#REF!</v>
      </c>
      <c r="AC22" s="20" t="e">
        <f>#REF!&amp;#REF!&amp;COUNTIF(#REF!,#REF!)</f>
        <v>#REF!</v>
      </c>
      <c r="AD22" s="20" t="e">
        <f>#REF!&amp;#REF!&amp;COUNTIF(#REF!,#REF!)</f>
        <v>#REF!</v>
      </c>
      <c r="AE22" s="20" t="e">
        <f>#REF!&amp;#REF!&amp;COUNTIF(#REF!,#REF!)</f>
        <v>#REF!</v>
      </c>
      <c r="AF22" s="20" t="e">
        <f>#REF!&amp;#REF!&amp;COUNTIF(#REF!,#REF!)</f>
        <v>#REF!</v>
      </c>
      <c r="AG22" s="20" t="e">
        <f>#REF!&amp;#REF!&amp;COUNTIF(#REF!,#REF!)</f>
        <v>#REF!</v>
      </c>
      <c r="AH22" s="20" t="e">
        <f>#REF!&amp;#REF!&amp;COUNTIF(#REF!,#REF!)</f>
        <v>#REF!</v>
      </c>
      <c r="AI22" s="20" t="e">
        <f>#REF!&amp;#REF!&amp;COUNTIF(#REF!,#REF!)</f>
        <v>#REF!</v>
      </c>
      <c r="AJ22" s="3">
        <v>22</v>
      </c>
      <c r="AM22" s="30" t="e">
        <f t="shared" ref="AM22:AM30" si="13">AM21</f>
        <v>#REF!</v>
      </c>
      <c r="AN22" s="27" t="e">
        <f>AN21</f>
        <v>#REF!</v>
      </c>
      <c r="AP22" s="46" t="str">
        <f t="shared" si="11"/>
        <v/>
      </c>
      <c r="AQ22" s="31" t="str">
        <f t="shared" si="11"/>
        <v/>
      </c>
      <c r="AR22" s="31" t="str">
        <f t="shared" si="11"/>
        <v/>
      </c>
      <c r="AS22" s="46" t="str">
        <f t="shared" si="11"/>
        <v/>
      </c>
      <c r="AT22" s="31" t="str">
        <f t="shared" si="11"/>
        <v/>
      </c>
      <c r="AU22" s="31" t="str">
        <f t="shared" si="11"/>
        <v/>
      </c>
      <c r="AV22" s="46" t="str">
        <f t="shared" si="11"/>
        <v/>
      </c>
      <c r="AW22" s="31" t="str">
        <f t="shared" si="11"/>
        <v/>
      </c>
      <c r="AX22" s="32" t="str">
        <f t="shared" si="11"/>
        <v/>
      </c>
      <c r="AZ22" s="48" t="s">
        <v>258</v>
      </c>
      <c r="BA22" s="49">
        <f>COUNTA(AS21:AS30)-COUNTBLANK(AS21:AS30)+(COUNTA(AT21:AT30)-COUNTBLANK(AT21:AT30))*0.5+(COUNTA(AU21:AU30)-COUNTBLANK(AU21:AU30))*0.5</f>
        <v>0</v>
      </c>
      <c r="BB22" s="67" t="str">
        <f t="shared" ref="BB22:BC31" si="14">BB21</f>
        <v/>
      </c>
      <c r="BC22" s="67" t="str">
        <f t="shared" si="14"/>
        <v/>
      </c>
      <c r="BD22" s="60" t="str">
        <f t="shared" si="12"/>
        <v/>
      </c>
    </row>
    <row r="23" spans="1:56" ht="20.25">
      <c r="B23" s="19" t="e">
        <f>#REF!</f>
        <v>#REF!</v>
      </c>
      <c r="C23" s="5" t="e">
        <f>#REF!</f>
        <v>#REF!</v>
      </c>
      <c r="D23" s="5" t="e">
        <f>#REF!</f>
        <v>#REF!</v>
      </c>
      <c r="E23" s="20" t="e">
        <f>#REF!&amp;#REF!&amp;COUNTIF(#REF!,#REF!)</f>
        <v>#REF!</v>
      </c>
      <c r="F23" s="20" t="e">
        <f>#REF!&amp;#REF!&amp;COUNTIF(#REF!,#REF!)</f>
        <v>#REF!</v>
      </c>
      <c r="G23" s="20" t="e">
        <f>#REF!&amp;#REF!&amp;COUNTIF(#REF!,#REF!)</f>
        <v>#REF!</v>
      </c>
      <c r="H23" s="20" t="e">
        <f>#REF!&amp;#REF!&amp;COUNTIF(#REF!,#REF!)</f>
        <v>#REF!</v>
      </c>
      <c r="I23" s="20" t="e">
        <f>#REF!&amp;#REF!&amp;COUNTIF(#REF!,#REF!)</f>
        <v>#REF!</v>
      </c>
      <c r="J23" s="20" t="e">
        <f>#REF!&amp;#REF!&amp;COUNTIF(#REF!,#REF!)</f>
        <v>#REF!</v>
      </c>
      <c r="K23" s="20" t="e">
        <f>#REF!&amp;#REF!&amp;COUNTIF(#REF!,#REF!)</f>
        <v>#REF!</v>
      </c>
      <c r="L23" s="20" t="e">
        <f>#REF!&amp;#REF!&amp;COUNTIF(#REF!,#REF!)</f>
        <v>#REF!</v>
      </c>
      <c r="M23" s="20" t="e">
        <f>#REF!&amp;#REF!&amp;COUNTIF(#REF!,#REF!)</f>
        <v>#REF!</v>
      </c>
      <c r="N23" s="20" t="e">
        <f>#REF!&amp;#REF!&amp;COUNTIF(#REF!,#REF!)</f>
        <v>#REF!</v>
      </c>
      <c r="O23" s="20" t="e">
        <f>#REF!&amp;#REF!&amp;COUNTIF(#REF!,#REF!)</f>
        <v>#REF!</v>
      </c>
      <c r="P23" s="20" t="e">
        <f>#REF!&amp;#REF!&amp;COUNTIF(#REF!,#REF!)</f>
        <v>#REF!</v>
      </c>
      <c r="Q23" s="20" t="e">
        <f>#REF!&amp;#REF!&amp;COUNTIF(#REF!,#REF!)</f>
        <v>#REF!</v>
      </c>
      <c r="R23" s="20" t="e">
        <f>#REF!&amp;#REF!&amp;COUNTIF(#REF!,#REF!)</f>
        <v>#REF!</v>
      </c>
      <c r="S23" s="20" t="e">
        <f>#REF!&amp;#REF!&amp;COUNTIF(#REF!,#REF!)</f>
        <v>#REF!</v>
      </c>
      <c r="T23" s="20" t="e">
        <f>#REF!&amp;#REF!&amp;COUNTIF(#REF!,#REF!)</f>
        <v>#REF!</v>
      </c>
      <c r="U23" s="20" t="e">
        <f>#REF!&amp;#REF!&amp;COUNTIF(#REF!,#REF!)</f>
        <v>#REF!</v>
      </c>
      <c r="V23" s="20" t="e">
        <f>#REF!&amp;#REF!&amp;COUNTIF(#REF!,#REF!)</f>
        <v>#REF!</v>
      </c>
      <c r="W23" s="20" t="e">
        <f>#REF!&amp;#REF!&amp;COUNTIF(#REF!,#REF!)</f>
        <v>#REF!</v>
      </c>
      <c r="X23" s="20" t="e">
        <f>#REF!&amp;#REF!&amp;COUNTIF(#REF!,#REF!)</f>
        <v>#REF!</v>
      </c>
      <c r="Y23" s="20" t="e">
        <f>#REF!&amp;#REF!&amp;COUNTIF(#REF!,#REF!)</f>
        <v>#REF!</v>
      </c>
      <c r="Z23" s="20" t="e">
        <f>#REF!&amp;#REF!&amp;COUNTIF(#REF!,#REF!)</f>
        <v>#REF!</v>
      </c>
      <c r="AA23" s="20" t="e">
        <f>#REF!&amp;#REF!&amp;COUNTIF(#REF!,#REF!)</f>
        <v>#REF!</v>
      </c>
      <c r="AB23" s="20" t="e">
        <f>#REF!&amp;#REF!&amp;COUNTIF(#REF!,#REF!)</f>
        <v>#REF!</v>
      </c>
      <c r="AC23" s="20" t="e">
        <f>#REF!&amp;#REF!&amp;COUNTIF(#REF!,#REF!)</f>
        <v>#REF!</v>
      </c>
      <c r="AD23" s="20" t="e">
        <f>#REF!&amp;#REF!&amp;COUNTIF(#REF!,#REF!)</f>
        <v>#REF!</v>
      </c>
      <c r="AE23" s="20" t="e">
        <f>#REF!&amp;#REF!&amp;COUNTIF(#REF!,#REF!)</f>
        <v>#REF!</v>
      </c>
      <c r="AF23" s="20" t="e">
        <f>#REF!&amp;#REF!&amp;COUNTIF(#REF!,#REF!)</f>
        <v>#REF!</v>
      </c>
      <c r="AG23" s="20" t="e">
        <f>#REF!&amp;#REF!&amp;COUNTIF(#REF!,#REF!)</f>
        <v>#REF!</v>
      </c>
      <c r="AH23" s="20" t="e">
        <f>#REF!&amp;#REF!&amp;COUNTIF(#REF!,#REF!)</f>
        <v>#REF!</v>
      </c>
      <c r="AI23" s="20" t="e">
        <f>#REF!&amp;#REF!&amp;COUNTIF(#REF!,#REF!)</f>
        <v>#REF!</v>
      </c>
      <c r="AJ23" s="3">
        <v>23</v>
      </c>
      <c r="AM23" s="30" t="e">
        <f t="shared" si="13"/>
        <v>#REF!</v>
      </c>
      <c r="AN23" s="27" t="e">
        <f t="shared" ref="AN23:AN30" si="15">AN22</f>
        <v>#REF!</v>
      </c>
      <c r="AP23" s="46" t="str">
        <f t="shared" si="11"/>
        <v/>
      </c>
      <c r="AQ23" s="31" t="str">
        <f t="shared" si="11"/>
        <v/>
      </c>
      <c r="AR23" s="31" t="str">
        <f t="shared" si="11"/>
        <v/>
      </c>
      <c r="AS23" s="46" t="str">
        <f t="shared" si="11"/>
        <v/>
      </c>
      <c r="AT23" s="31" t="str">
        <f t="shared" si="11"/>
        <v/>
      </c>
      <c r="AU23" s="31" t="str">
        <f t="shared" si="11"/>
        <v/>
      </c>
      <c r="AV23" s="46" t="str">
        <f t="shared" si="11"/>
        <v/>
      </c>
      <c r="AW23" s="31" t="str">
        <f t="shared" si="11"/>
        <v/>
      </c>
      <c r="AX23" s="32" t="str">
        <f t="shared" si="11"/>
        <v/>
      </c>
      <c r="AZ23" s="48" t="s">
        <v>259</v>
      </c>
      <c r="BA23" s="49">
        <f>COUNTA(AV21:AV30)-COUNTBLANK(AV21:AV30)+(COUNTA(AW21:AW30)-COUNTBLANK(AW21:AW30))*0.5+(COUNTA(AX21:AX30)-COUNTBLANK(AX21:AX30))*0.5</f>
        <v>0</v>
      </c>
      <c r="BB23" s="67" t="str">
        <f t="shared" si="14"/>
        <v/>
      </c>
      <c r="BC23" s="67" t="str">
        <f t="shared" si="14"/>
        <v/>
      </c>
      <c r="BD23" s="60" t="str">
        <f t="shared" si="12"/>
        <v/>
      </c>
    </row>
    <row r="24" spans="1:56" ht="20.25">
      <c r="B24" s="19" t="e">
        <f>#REF!</f>
        <v>#REF!</v>
      </c>
      <c r="C24" s="5" t="e">
        <f>#REF!</f>
        <v>#REF!</v>
      </c>
      <c r="D24" s="5" t="e">
        <f>#REF!</f>
        <v>#REF!</v>
      </c>
      <c r="E24" s="20" t="e">
        <f>#REF!&amp;#REF!&amp;COUNTIF(#REF!,#REF!)</f>
        <v>#REF!</v>
      </c>
      <c r="F24" s="20" t="e">
        <f>#REF!&amp;#REF!&amp;COUNTIF(#REF!,#REF!)</f>
        <v>#REF!</v>
      </c>
      <c r="G24" s="20" t="e">
        <f>#REF!&amp;#REF!&amp;COUNTIF(#REF!,#REF!)</f>
        <v>#REF!</v>
      </c>
      <c r="H24" s="20" t="e">
        <f>#REF!&amp;#REF!&amp;COUNTIF(#REF!,#REF!)</f>
        <v>#REF!</v>
      </c>
      <c r="I24" s="20" t="e">
        <f>#REF!&amp;#REF!&amp;COUNTIF(#REF!,#REF!)</f>
        <v>#REF!</v>
      </c>
      <c r="J24" s="20" t="e">
        <f>#REF!&amp;#REF!&amp;COUNTIF(#REF!,#REF!)</f>
        <v>#REF!</v>
      </c>
      <c r="K24" s="20" t="e">
        <f>#REF!&amp;#REF!&amp;COUNTIF(#REF!,#REF!)</f>
        <v>#REF!</v>
      </c>
      <c r="L24" s="20" t="e">
        <f>#REF!&amp;#REF!&amp;COUNTIF(#REF!,#REF!)</f>
        <v>#REF!</v>
      </c>
      <c r="M24" s="20" t="e">
        <f>#REF!&amp;#REF!&amp;COUNTIF(#REF!,#REF!)</f>
        <v>#REF!</v>
      </c>
      <c r="N24" s="20" t="e">
        <f>#REF!&amp;#REF!&amp;COUNTIF(#REF!,#REF!)</f>
        <v>#REF!</v>
      </c>
      <c r="O24" s="20" t="e">
        <f>#REF!&amp;#REF!&amp;COUNTIF(#REF!,#REF!)</f>
        <v>#REF!</v>
      </c>
      <c r="P24" s="20" t="e">
        <f>#REF!&amp;#REF!&amp;COUNTIF(#REF!,#REF!)</f>
        <v>#REF!</v>
      </c>
      <c r="Q24" s="20" t="e">
        <f>#REF!&amp;#REF!&amp;COUNTIF(#REF!,#REF!)</f>
        <v>#REF!</v>
      </c>
      <c r="R24" s="20" t="e">
        <f>#REF!&amp;#REF!&amp;COUNTIF(#REF!,#REF!)</f>
        <v>#REF!</v>
      </c>
      <c r="S24" s="20" t="e">
        <f>#REF!&amp;#REF!&amp;COUNTIF(#REF!,#REF!)</f>
        <v>#REF!</v>
      </c>
      <c r="T24" s="20" t="e">
        <f>#REF!&amp;#REF!&amp;COUNTIF(#REF!,#REF!)</f>
        <v>#REF!</v>
      </c>
      <c r="U24" s="20" t="e">
        <f>#REF!&amp;#REF!&amp;COUNTIF(#REF!,#REF!)</f>
        <v>#REF!</v>
      </c>
      <c r="V24" s="20" t="e">
        <f>#REF!&amp;#REF!&amp;COUNTIF(#REF!,#REF!)</f>
        <v>#REF!</v>
      </c>
      <c r="W24" s="20" t="e">
        <f>#REF!&amp;#REF!&amp;COUNTIF(#REF!,#REF!)</f>
        <v>#REF!</v>
      </c>
      <c r="X24" s="20" t="e">
        <f>#REF!&amp;#REF!&amp;COUNTIF(#REF!,#REF!)</f>
        <v>#REF!</v>
      </c>
      <c r="Y24" s="20" t="e">
        <f>#REF!&amp;#REF!&amp;COUNTIF(#REF!,#REF!)</f>
        <v>#REF!</v>
      </c>
      <c r="Z24" s="20" t="e">
        <f>#REF!&amp;#REF!&amp;COUNTIF(#REF!,#REF!)</f>
        <v>#REF!</v>
      </c>
      <c r="AA24" s="20" t="e">
        <f>#REF!&amp;#REF!&amp;COUNTIF(#REF!,#REF!)</f>
        <v>#REF!</v>
      </c>
      <c r="AB24" s="20" t="e">
        <f>#REF!&amp;#REF!&amp;COUNTIF(#REF!,#REF!)</f>
        <v>#REF!</v>
      </c>
      <c r="AC24" s="20" t="e">
        <f>#REF!&amp;#REF!&amp;COUNTIF(#REF!,#REF!)</f>
        <v>#REF!</v>
      </c>
      <c r="AD24" s="20" t="e">
        <f>#REF!&amp;#REF!&amp;COUNTIF(#REF!,#REF!)</f>
        <v>#REF!</v>
      </c>
      <c r="AE24" s="20" t="e">
        <f>#REF!&amp;#REF!&amp;COUNTIF(#REF!,#REF!)</f>
        <v>#REF!</v>
      </c>
      <c r="AF24" s="20" t="e">
        <f>#REF!&amp;#REF!&amp;COUNTIF(#REF!,#REF!)</f>
        <v>#REF!</v>
      </c>
      <c r="AG24" s="20" t="e">
        <f>#REF!&amp;#REF!&amp;COUNTIF(#REF!,#REF!)</f>
        <v>#REF!</v>
      </c>
      <c r="AH24" s="20" t="e">
        <f>#REF!&amp;#REF!&amp;COUNTIF(#REF!,#REF!)</f>
        <v>#REF!</v>
      </c>
      <c r="AI24" s="20" t="e">
        <f>#REF!&amp;#REF!&amp;COUNTIF(#REF!,#REF!)</f>
        <v>#REF!</v>
      </c>
      <c r="AJ24" s="3">
        <v>24</v>
      </c>
      <c r="AM24" s="30" t="e">
        <f t="shared" si="13"/>
        <v>#REF!</v>
      </c>
      <c r="AN24" s="27" t="e">
        <f t="shared" si="15"/>
        <v>#REF!</v>
      </c>
      <c r="AP24" s="46" t="str">
        <f t="shared" si="11"/>
        <v/>
      </c>
      <c r="AQ24" s="31" t="str">
        <f t="shared" si="11"/>
        <v/>
      </c>
      <c r="AR24" s="31" t="str">
        <f t="shared" si="11"/>
        <v/>
      </c>
      <c r="AS24" s="46" t="str">
        <f t="shared" si="11"/>
        <v/>
      </c>
      <c r="AT24" s="31" t="str">
        <f t="shared" si="11"/>
        <v/>
      </c>
      <c r="AU24" s="31" t="str">
        <f t="shared" si="11"/>
        <v/>
      </c>
      <c r="AV24" s="46" t="str">
        <f t="shared" si="11"/>
        <v/>
      </c>
      <c r="AW24" s="31" t="str">
        <f t="shared" si="11"/>
        <v/>
      </c>
      <c r="AX24" s="32" t="str">
        <f t="shared" si="11"/>
        <v/>
      </c>
      <c r="AZ24" s="33"/>
      <c r="BA24" s="23"/>
      <c r="BB24" s="67" t="str">
        <f t="shared" si="14"/>
        <v/>
      </c>
      <c r="BC24" s="67" t="str">
        <f t="shared" si="14"/>
        <v/>
      </c>
      <c r="BD24" s="60" t="str">
        <f t="shared" si="12"/>
        <v/>
      </c>
    </row>
    <row r="25" spans="1:56" ht="20.25">
      <c r="B25" s="19" t="e">
        <f>#REF!</f>
        <v>#REF!</v>
      </c>
      <c r="C25" s="5" t="e">
        <f>#REF!</f>
        <v>#REF!</v>
      </c>
      <c r="D25" s="5" t="e">
        <f>#REF!</f>
        <v>#REF!</v>
      </c>
      <c r="E25" s="20" t="e">
        <f>#REF!&amp;#REF!&amp;COUNTIF(#REF!,#REF!)</f>
        <v>#REF!</v>
      </c>
      <c r="F25" s="20" t="e">
        <f>#REF!&amp;#REF!&amp;COUNTIF(#REF!,#REF!)</f>
        <v>#REF!</v>
      </c>
      <c r="G25" s="20" t="e">
        <f>#REF!&amp;#REF!&amp;COUNTIF(#REF!,#REF!)</f>
        <v>#REF!</v>
      </c>
      <c r="H25" s="20" t="e">
        <f>#REF!&amp;#REF!&amp;COUNTIF(#REF!,#REF!)</f>
        <v>#REF!</v>
      </c>
      <c r="I25" s="20" t="e">
        <f>#REF!&amp;#REF!&amp;COUNTIF(#REF!,#REF!)</f>
        <v>#REF!</v>
      </c>
      <c r="J25" s="20" t="e">
        <f>#REF!&amp;#REF!&amp;COUNTIF(#REF!,#REF!)</f>
        <v>#REF!</v>
      </c>
      <c r="K25" s="20" t="e">
        <f>#REF!&amp;#REF!&amp;COUNTIF(#REF!,#REF!)</f>
        <v>#REF!</v>
      </c>
      <c r="L25" s="20" t="e">
        <f>#REF!&amp;#REF!&amp;COUNTIF(#REF!,#REF!)</f>
        <v>#REF!</v>
      </c>
      <c r="M25" s="20" t="e">
        <f>#REF!&amp;#REF!&amp;COUNTIF(#REF!,#REF!)</f>
        <v>#REF!</v>
      </c>
      <c r="N25" s="20" t="e">
        <f>#REF!&amp;#REF!&amp;COUNTIF(#REF!,#REF!)</f>
        <v>#REF!</v>
      </c>
      <c r="O25" s="20" t="e">
        <f>#REF!&amp;#REF!&amp;COUNTIF(#REF!,#REF!)</f>
        <v>#REF!</v>
      </c>
      <c r="P25" s="20" t="e">
        <f>#REF!&amp;#REF!&amp;COUNTIF(#REF!,#REF!)</f>
        <v>#REF!</v>
      </c>
      <c r="Q25" s="20" t="e">
        <f>#REF!&amp;#REF!&amp;COUNTIF(#REF!,#REF!)</f>
        <v>#REF!</v>
      </c>
      <c r="R25" s="20" t="e">
        <f>#REF!&amp;#REF!&amp;COUNTIF(#REF!,#REF!)</f>
        <v>#REF!</v>
      </c>
      <c r="S25" s="20" t="e">
        <f>#REF!&amp;#REF!&amp;COUNTIF(#REF!,#REF!)</f>
        <v>#REF!</v>
      </c>
      <c r="T25" s="20" t="e">
        <f>#REF!&amp;#REF!&amp;COUNTIF(#REF!,#REF!)</f>
        <v>#REF!</v>
      </c>
      <c r="U25" s="20" t="e">
        <f>#REF!&amp;#REF!&amp;COUNTIF(#REF!,#REF!)</f>
        <v>#REF!</v>
      </c>
      <c r="V25" s="20" t="e">
        <f>#REF!&amp;#REF!&amp;COUNTIF(#REF!,#REF!)</f>
        <v>#REF!</v>
      </c>
      <c r="W25" s="20" t="e">
        <f>#REF!&amp;#REF!&amp;COUNTIF(#REF!,#REF!)</f>
        <v>#REF!</v>
      </c>
      <c r="X25" s="20" t="e">
        <f>#REF!&amp;#REF!&amp;COUNTIF(#REF!,#REF!)</f>
        <v>#REF!</v>
      </c>
      <c r="Y25" s="20" t="e">
        <f>#REF!&amp;#REF!&amp;COUNTIF(#REF!,#REF!)</f>
        <v>#REF!</v>
      </c>
      <c r="Z25" s="20" t="e">
        <f>#REF!&amp;#REF!&amp;COUNTIF(#REF!,#REF!)</f>
        <v>#REF!</v>
      </c>
      <c r="AA25" s="20" t="e">
        <f>#REF!&amp;#REF!&amp;COUNTIF(#REF!,#REF!)</f>
        <v>#REF!</v>
      </c>
      <c r="AB25" s="20" t="e">
        <f>#REF!&amp;#REF!&amp;COUNTIF(#REF!,#REF!)</f>
        <v>#REF!</v>
      </c>
      <c r="AC25" s="20" t="e">
        <f>#REF!&amp;#REF!&amp;COUNTIF(#REF!,#REF!)</f>
        <v>#REF!</v>
      </c>
      <c r="AD25" s="20" t="e">
        <f>#REF!&amp;#REF!&amp;COUNTIF(#REF!,#REF!)</f>
        <v>#REF!</v>
      </c>
      <c r="AE25" s="20" t="e">
        <f>#REF!&amp;#REF!&amp;COUNTIF(#REF!,#REF!)</f>
        <v>#REF!</v>
      </c>
      <c r="AF25" s="20" t="e">
        <f>#REF!&amp;#REF!&amp;COUNTIF(#REF!,#REF!)</f>
        <v>#REF!</v>
      </c>
      <c r="AG25" s="20" t="e">
        <f>#REF!&amp;#REF!&amp;COUNTIF(#REF!,#REF!)</f>
        <v>#REF!</v>
      </c>
      <c r="AH25" s="20" t="e">
        <f>#REF!&amp;#REF!&amp;COUNTIF(#REF!,#REF!)</f>
        <v>#REF!</v>
      </c>
      <c r="AI25" s="20" t="e">
        <f>#REF!&amp;#REF!&amp;COUNTIF(#REF!,#REF!)</f>
        <v>#REF!</v>
      </c>
      <c r="AJ25" s="3">
        <v>25</v>
      </c>
      <c r="AM25" s="30" t="e">
        <f t="shared" si="13"/>
        <v>#REF!</v>
      </c>
      <c r="AN25" s="27" t="e">
        <f t="shared" si="15"/>
        <v>#REF!</v>
      </c>
      <c r="AP25" s="46" t="str">
        <f t="shared" si="11"/>
        <v/>
      </c>
      <c r="AQ25" s="31" t="str">
        <f t="shared" si="11"/>
        <v/>
      </c>
      <c r="AR25" s="31" t="str">
        <f t="shared" si="11"/>
        <v/>
      </c>
      <c r="AS25" s="46" t="str">
        <f t="shared" si="11"/>
        <v/>
      </c>
      <c r="AT25" s="31" t="str">
        <f t="shared" si="11"/>
        <v/>
      </c>
      <c r="AU25" s="31" t="str">
        <f t="shared" si="11"/>
        <v/>
      </c>
      <c r="AV25" s="46" t="str">
        <f t="shared" si="11"/>
        <v/>
      </c>
      <c r="AW25" s="31" t="str">
        <f t="shared" si="11"/>
        <v/>
      </c>
      <c r="AX25" s="32" t="str">
        <f t="shared" si="11"/>
        <v/>
      </c>
      <c r="AZ25" s="33"/>
      <c r="BB25" s="67" t="str">
        <f t="shared" si="14"/>
        <v/>
      </c>
      <c r="BC25" s="67" t="str">
        <f t="shared" si="14"/>
        <v/>
      </c>
      <c r="BD25" s="60" t="str">
        <f t="shared" si="12"/>
        <v/>
      </c>
    </row>
    <row r="26" spans="1:56" ht="20.25">
      <c r="B26" s="19" t="e">
        <f>#REF!</f>
        <v>#REF!</v>
      </c>
      <c r="C26" s="5" t="e">
        <f>#REF!</f>
        <v>#REF!</v>
      </c>
      <c r="D26" s="5" t="e">
        <f>#REF!</f>
        <v>#REF!</v>
      </c>
      <c r="E26" s="20" t="e">
        <f>#REF!&amp;#REF!&amp;COUNTIF(#REF!,#REF!)</f>
        <v>#REF!</v>
      </c>
      <c r="F26" s="20" t="e">
        <f>#REF!&amp;#REF!&amp;COUNTIF(#REF!,#REF!)</f>
        <v>#REF!</v>
      </c>
      <c r="G26" s="20" t="e">
        <f>#REF!&amp;#REF!&amp;COUNTIF(#REF!,#REF!)</f>
        <v>#REF!</v>
      </c>
      <c r="H26" s="20" t="e">
        <f>#REF!&amp;#REF!&amp;COUNTIF(#REF!,#REF!)</f>
        <v>#REF!</v>
      </c>
      <c r="I26" s="20" t="e">
        <f>#REF!&amp;#REF!&amp;COUNTIF(#REF!,#REF!)</f>
        <v>#REF!</v>
      </c>
      <c r="J26" s="20" t="e">
        <f>#REF!&amp;#REF!&amp;COUNTIF(#REF!,#REF!)</f>
        <v>#REF!</v>
      </c>
      <c r="K26" s="20" t="e">
        <f>#REF!&amp;#REF!&amp;COUNTIF(#REF!,#REF!)</f>
        <v>#REF!</v>
      </c>
      <c r="L26" s="20" t="e">
        <f>#REF!&amp;#REF!&amp;COUNTIF(#REF!,#REF!)</f>
        <v>#REF!</v>
      </c>
      <c r="M26" s="20" t="e">
        <f>#REF!&amp;#REF!&amp;COUNTIF(#REF!,#REF!)</f>
        <v>#REF!</v>
      </c>
      <c r="N26" s="20" t="e">
        <f>#REF!&amp;#REF!&amp;COUNTIF(#REF!,#REF!)</f>
        <v>#REF!</v>
      </c>
      <c r="O26" s="20" t="e">
        <f>#REF!&amp;#REF!&amp;COUNTIF(#REF!,#REF!)</f>
        <v>#REF!</v>
      </c>
      <c r="P26" s="20" t="e">
        <f>#REF!&amp;#REF!&amp;COUNTIF(#REF!,#REF!)</f>
        <v>#REF!</v>
      </c>
      <c r="Q26" s="20" t="e">
        <f>#REF!&amp;#REF!&amp;COUNTIF(#REF!,#REF!)</f>
        <v>#REF!</v>
      </c>
      <c r="R26" s="20" t="e">
        <f>#REF!&amp;#REF!&amp;COUNTIF(#REF!,#REF!)</f>
        <v>#REF!</v>
      </c>
      <c r="S26" s="20" t="e">
        <f>#REF!&amp;#REF!&amp;COUNTIF(#REF!,#REF!)</f>
        <v>#REF!</v>
      </c>
      <c r="T26" s="20" t="e">
        <f>#REF!&amp;#REF!&amp;COUNTIF(#REF!,#REF!)</f>
        <v>#REF!</v>
      </c>
      <c r="U26" s="20" t="e">
        <f>#REF!&amp;#REF!&amp;COUNTIF(#REF!,#REF!)</f>
        <v>#REF!</v>
      </c>
      <c r="V26" s="20" t="e">
        <f>#REF!&amp;#REF!&amp;COUNTIF(#REF!,#REF!)</f>
        <v>#REF!</v>
      </c>
      <c r="W26" s="20" t="e">
        <f>#REF!&amp;#REF!&amp;COUNTIF(#REF!,#REF!)</f>
        <v>#REF!</v>
      </c>
      <c r="X26" s="20" t="e">
        <f>#REF!&amp;#REF!&amp;COUNTIF(#REF!,#REF!)</f>
        <v>#REF!</v>
      </c>
      <c r="Y26" s="20" t="e">
        <f>#REF!&amp;#REF!&amp;COUNTIF(#REF!,#REF!)</f>
        <v>#REF!</v>
      </c>
      <c r="Z26" s="20" t="e">
        <f>#REF!&amp;#REF!&amp;COUNTIF(#REF!,#REF!)</f>
        <v>#REF!</v>
      </c>
      <c r="AA26" s="20" t="e">
        <f>#REF!&amp;#REF!&amp;COUNTIF(#REF!,#REF!)</f>
        <v>#REF!</v>
      </c>
      <c r="AB26" s="20" t="e">
        <f>#REF!&amp;#REF!&amp;COUNTIF(#REF!,#REF!)</f>
        <v>#REF!</v>
      </c>
      <c r="AC26" s="20" t="e">
        <f>#REF!&amp;#REF!&amp;COUNTIF(#REF!,#REF!)</f>
        <v>#REF!</v>
      </c>
      <c r="AD26" s="20" t="e">
        <f>#REF!&amp;#REF!&amp;COUNTIF(#REF!,#REF!)</f>
        <v>#REF!</v>
      </c>
      <c r="AE26" s="20" t="e">
        <f>#REF!&amp;#REF!&amp;COUNTIF(#REF!,#REF!)</f>
        <v>#REF!</v>
      </c>
      <c r="AF26" s="20" t="e">
        <f>#REF!&amp;#REF!&amp;COUNTIF(#REF!,#REF!)</f>
        <v>#REF!</v>
      </c>
      <c r="AG26" s="20" t="e">
        <f>#REF!&amp;#REF!&amp;COUNTIF(#REF!,#REF!)</f>
        <v>#REF!</v>
      </c>
      <c r="AH26" s="20" t="e">
        <f>#REF!&amp;#REF!&amp;COUNTIF(#REF!,#REF!)</f>
        <v>#REF!</v>
      </c>
      <c r="AI26" s="20" t="e">
        <f>#REF!&amp;#REF!&amp;COUNTIF(#REF!,#REF!)</f>
        <v>#REF!</v>
      </c>
      <c r="AJ26" s="3">
        <v>26</v>
      </c>
      <c r="AM26" s="30" t="e">
        <f t="shared" si="13"/>
        <v>#REF!</v>
      </c>
      <c r="AN26" s="27" t="e">
        <f t="shared" si="15"/>
        <v>#REF!</v>
      </c>
      <c r="AP26" s="46" t="str">
        <f t="shared" si="11"/>
        <v/>
      </c>
      <c r="AQ26" s="31" t="str">
        <f t="shared" si="11"/>
        <v/>
      </c>
      <c r="AR26" s="31" t="str">
        <f t="shared" si="11"/>
        <v/>
      </c>
      <c r="AS26" s="46" t="str">
        <f t="shared" si="11"/>
        <v/>
      </c>
      <c r="AT26" s="31" t="str">
        <f t="shared" si="11"/>
        <v/>
      </c>
      <c r="AU26" s="31" t="str">
        <f t="shared" si="11"/>
        <v/>
      </c>
      <c r="AV26" s="46" t="str">
        <f t="shared" si="11"/>
        <v/>
      </c>
      <c r="AW26" s="31" t="str">
        <f t="shared" si="11"/>
        <v/>
      </c>
      <c r="AX26" s="32" t="str">
        <f t="shared" si="11"/>
        <v/>
      </c>
      <c r="AZ26" s="23" t="s">
        <v>260</v>
      </c>
      <c r="BB26" s="67" t="str">
        <f t="shared" si="14"/>
        <v/>
      </c>
      <c r="BC26" s="67" t="str">
        <f t="shared" si="14"/>
        <v/>
      </c>
      <c r="BD26" s="60" t="str">
        <f t="shared" si="12"/>
        <v/>
      </c>
    </row>
    <row r="27" spans="1:56" ht="20.25">
      <c r="B27" s="19" t="e">
        <f>#REF!</f>
        <v>#REF!</v>
      </c>
      <c r="C27" s="5" t="e">
        <f>#REF!</f>
        <v>#REF!</v>
      </c>
      <c r="D27" s="5" t="e">
        <f>#REF!</f>
        <v>#REF!</v>
      </c>
      <c r="E27" s="20" t="e">
        <f>#REF!&amp;#REF!&amp;COUNTIF(#REF!,#REF!)</f>
        <v>#REF!</v>
      </c>
      <c r="F27" s="20" t="e">
        <f>#REF!&amp;#REF!&amp;COUNTIF(#REF!,#REF!)</f>
        <v>#REF!</v>
      </c>
      <c r="G27" s="20" t="e">
        <f>#REF!&amp;#REF!&amp;COUNTIF(#REF!,#REF!)</f>
        <v>#REF!</v>
      </c>
      <c r="H27" s="20" t="e">
        <f>#REF!&amp;#REF!&amp;COUNTIF(#REF!,#REF!)</f>
        <v>#REF!</v>
      </c>
      <c r="I27" s="20" t="e">
        <f>#REF!&amp;#REF!&amp;COUNTIF(#REF!,#REF!)</f>
        <v>#REF!</v>
      </c>
      <c r="J27" s="20" t="e">
        <f>#REF!&amp;#REF!&amp;COUNTIF(#REF!,#REF!)</f>
        <v>#REF!</v>
      </c>
      <c r="K27" s="20" t="e">
        <f>#REF!&amp;#REF!&amp;COUNTIF(#REF!,#REF!)</f>
        <v>#REF!</v>
      </c>
      <c r="L27" s="20" t="e">
        <f>#REF!&amp;#REF!&amp;COUNTIF(#REF!,#REF!)</f>
        <v>#REF!</v>
      </c>
      <c r="M27" s="20" t="e">
        <f>#REF!&amp;#REF!&amp;COUNTIF(#REF!,#REF!)</f>
        <v>#REF!</v>
      </c>
      <c r="N27" s="20" t="e">
        <f>#REF!&amp;#REF!&amp;COUNTIF(#REF!,#REF!)</f>
        <v>#REF!</v>
      </c>
      <c r="O27" s="20" t="e">
        <f>#REF!&amp;#REF!&amp;COUNTIF(#REF!,#REF!)</f>
        <v>#REF!</v>
      </c>
      <c r="P27" s="20" t="e">
        <f>#REF!&amp;#REF!&amp;COUNTIF(#REF!,#REF!)</f>
        <v>#REF!</v>
      </c>
      <c r="Q27" s="20" t="e">
        <f>#REF!&amp;#REF!&amp;COUNTIF(#REF!,#REF!)</f>
        <v>#REF!</v>
      </c>
      <c r="R27" s="20" t="e">
        <f>#REF!&amp;#REF!&amp;COUNTIF(#REF!,#REF!)</f>
        <v>#REF!</v>
      </c>
      <c r="S27" s="20" t="e">
        <f>#REF!&amp;#REF!&amp;COUNTIF(#REF!,#REF!)</f>
        <v>#REF!</v>
      </c>
      <c r="T27" s="20" t="e">
        <f>#REF!&amp;#REF!&amp;COUNTIF(#REF!,#REF!)</f>
        <v>#REF!</v>
      </c>
      <c r="U27" s="20" t="e">
        <f>#REF!&amp;#REF!&amp;COUNTIF(#REF!,#REF!)</f>
        <v>#REF!</v>
      </c>
      <c r="V27" s="20" t="e">
        <f>#REF!&amp;#REF!&amp;COUNTIF(#REF!,#REF!)</f>
        <v>#REF!</v>
      </c>
      <c r="W27" s="20" t="e">
        <f>#REF!&amp;#REF!&amp;COUNTIF(#REF!,#REF!)</f>
        <v>#REF!</v>
      </c>
      <c r="X27" s="20" t="e">
        <f>#REF!&amp;#REF!&amp;COUNTIF(#REF!,#REF!)</f>
        <v>#REF!</v>
      </c>
      <c r="Y27" s="20" t="e">
        <f>#REF!&amp;#REF!&amp;COUNTIF(#REF!,#REF!)</f>
        <v>#REF!</v>
      </c>
      <c r="Z27" s="20" t="e">
        <f>#REF!&amp;#REF!&amp;COUNTIF(#REF!,#REF!)</f>
        <v>#REF!</v>
      </c>
      <c r="AA27" s="20" t="e">
        <f>#REF!&amp;#REF!&amp;COUNTIF(#REF!,#REF!)</f>
        <v>#REF!</v>
      </c>
      <c r="AB27" s="20" t="e">
        <f>#REF!&amp;#REF!&amp;COUNTIF(#REF!,#REF!)</f>
        <v>#REF!</v>
      </c>
      <c r="AC27" s="20" t="e">
        <f>#REF!&amp;#REF!&amp;COUNTIF(#REF!,#REF!)</f>
        <v>#REF!</v>
      </c>
      <c r="AD27" s="20" t="e">
        <f>#REF!&amp;#REF!&amp;COUNTIF(#REF!,#REF!)</f>
        <v>#REF!</v>
      </c>
      <c r="AE27" s="20" t="e">
        <f>#REF!&amp;#REF!&amp;COUNTIF(#REF!,#REF!)</f>
        <v>#REF!</v>
      </c>
      <c r="AF27" s="20" t="e">
        <f>#REF!&amp;#REF!&amp;COUNTIF(#REF!,#REF!)</f>
        <v>#REF!</v>
      </c>
      <c r="AG27" s="20" t="e">
        <f>#REF!&amp;#REF!&amp;COUNTIF(#REF!,#REF!)</f>
        <v>#REF!</v>
      </c>
      <c r="AH27" s="20" t="e">
        <f>#REF!&amp;#REF!&amp;COUNTIF(#REF!,#REF!)</f>
        <v>#REF!</v>
      </c>
      <c r="AI27" s="20" t="e">
        <f>#REF!&amp;#REF!&amp;COUNTIF(#REF!,#REF!)</f>
        <v>#REF!</v>
      </c>
      <c r="AJ27" s="3">
        <v>27</v>
      </c>
      <c r="AM27" s="30" t="e">
        <f t="shared" si="13"/>
        <v>#REF!</v>
      </c>
      <c r="AN27" s="27" t="e">
        <f t="shared" si="15"/>
        <v>#REF!</v>
      </c>
      <c r="AP27" s="46" t="str">
        <f t="shared" ref="AP27:AX30" si="16">IFERROR(INDEX($E$3:$AI$3,MATCH($AN27&amp;AP$8&amp;ROW(A8),$E$5:$AI$5,0))&amp;"/"&amp;$AN$3,"")</f>
        <v/>
      </c>
      <c r="AQ27" s="31" t="str">
        <f t="shared" si="16"/>
        <v/>
      </c>
      <c r="AR27" s="31" t="str">
        <f t="shared" si="16"/>
        <v/>
      </c>
      <c r="AS27" s="46" t="str">
        <f t="shared" si="16"/>
        <v/>
      </c>
      <c r="AT27" s="31" t="str">
        <f t="shared" si="16"/>
        <v/>
      </c>
      <c r="AU27" s="31" t="str">
        <f t="shared" si="16"/>
        <v/>
      </c>
      <c r="AV27" s="46" t="str">
        <f t="shared" si="16"/>
        <v/>
      </c>
      <c r="AW27" s="31" t="str">
        <f t="shared" si="16"/>
        <v/>
      </c>
      <c r="AX27" s="32" t="str">
        <f t="shared" si="16"/>
        <v/>
      </c>
      <c r="AZ27" s="33"/>
      <c r="BB27" s="67" t="str">
        <f t="shared" si="14"/>
        <v/>
      </c>
      <c r="BC27" s="67" t="str">
        <f t="shared" si="14"/>
        <v/>
      </c>
      <c r="BD27" s="60" t="str">
        <f>IFERROR(INDEX($E$3:$AI$3,MATCH($AN27&amp;BD$8&amp;ROW(K8),$E$5:$AI$5,0))&amp;"/"&amp;$AN$3,"")</f>
        <v/>
      </c>
    </row>
    <row r="28" spans="1:56" ht="20.25">
      <c r="B28" s="19" t="e">
        <f>#REF!</f>
        <v>#REF!</v>
      </c>
      <c r="C28" s="5" t="e">
        <f>#REF!</f>
        <v>#REF!</v>
      </c>
      <c r="D28" s="5" t="e">
        <f>#REF!</f>
        <v>#REF!</v>
      </c>
      <c r="E28" s="20" t="e">
        <f>#REF!&amp;#REF!&amp;COUNTIF(#REF!,#REF!)</f>
        <v>#REF!</v>
      </c>
      <c r="F28" s="20" t="e">
        <f>#REF!&amp;#REF!&amp;COUNTIF(#REF!,#REF!)</f>
        <v>#REF!</v>
      </c>
      <c r="G28" s="20" t="e">
        <f>#REF!&amp;#REF!&amp;COUNTIF(#REF!,#REF!)</f>
        <v>#REF!</v>
      </c>
      <c r="H28" s="20" t="e">
        <f>#REF!&amp;#REF!&amp;COUNTIF(#REF!,#REF!)</f>
        <v>#REF!</v>
      </c>
      <c r="I28" s="20" t="e">
        <f>#REF!&amp;#REF!&amp;COUNTIF(#REF!,#REF!)</f>
        <v>#REF!</v>
      </c>
      <c r="J28" s="20" t="e">
        <f>#REF!&amp;#REF!&amp;COUNTIF(#REF!,#REF!)</f>
        <v>#REF!</v>
      </c>
      <c r="K28" s="20" t="e">
        <f>#REF!&amp;#REF!&amp;COUNTIF(#REF!,#REF!)</f>
        <v>#REF!</v>
      </c>
      <c r="L28" s="20" t="e">
        <f>#REF!&amp;#REF!&amp;COUNTIF(#REF!,#REF!)</f>
        <v>#REF!</v>
      </c>
      <c r="M28" s="20" t="e">
        <f>#REF!&amp;#REF!&amp;COUNTIF(#REF!,#REF!)</f>
        <v>#REF!</v>
      </c>
      <c r="N28" s="20" t="e">
        <f>#REF!&amp;#REF!&amp;COUNTIF(#REF!,#REF!)</f>
        <v>#REF!</v>
      </c>
      <c r="O28" s="20" t="e">
        <f>#REF!&amp;#REF!&amp;COUNTIF(#REF!,#REF!)</f>
        <v>#REF!</v>
      </c>
      <c r="P28" s="20" t="e">
        <f>#REF!&amp;#REF!&amp;COUNTIF(#REF!,#REF!)</f>
        <v>#REF!</v>
      </c>
      <c r="Q28" s="20" t="e">
        <f>#REF!&amp;#REF!&amp;COUNTIF(#REF!,#REF!)</f>
        <v>#REF!</v>
      </c>
      <c r="R28" s="20" t="e">
        <f>#REF!&amp;#REF!&amp;COUNTIF(#REF!,#REF!)</f>
        <v>#REF!</v>
      </c>
      <c r="S28" s="20" t="e">
        <f>#REF!&amp;#REF!&amp;COUNTIF(#REF!,#REF!)</f>
        <v>#REF!</v>
      </c>
      <c r="T28" s="20" t="e">
        <f>#REF!&amp;#REF!&amp;COUNTIF(#REF!,#REF!)</f>
        <v>#REF!</v>
      </c>
      <c r="U28" s="20" t="e">
        <f>#REF!&amp;#REF!&amp;COUNTIF(#REF!,#REF!)</f>
        <v>#REF!</v>
      </c>
      <c r="V28" s="20" t="e">
        <f>#REF!&amp;#REF!&amp;COUNTIF(#REF!,#REF!)</f>
        <v>#REF!</v>
      </c>
      <c r="W28" s="20" t="e">
        <f>#REF!&amp;#REF!&amp;COUNTIF(#REF!,#REF!)</f>
        <v>#REF!</v>
      </c>
      <c r="X28" s="20" t="e">
        <f>#REF!&amp;#REF!&amp;COUNTIF(#REF!,#REF!)</f>
        <v>#REF!</v>
      </c>
      <c r="Y28" s="20" t="e">
        <f>#REF!&amp;#REF!&amp;COUNTIF(#REF!,#REF!)</f>
        <v>#REF!</v>
      </c>
      <c r="Z28" s="20" t="e">
        <f>#REF!&amp;#REF!&amp;COUNTIF(#REF!,#REF!)</f>
        <v>#REF!</v>
      </c>
      <c r="AA28" s="20" t="e">
        <f>#REF!&amp;#REF!&amp;COUNTIF(#REF!,#REF!)</f>
        <v>#REF!</v>
      </c>
      <c r="AB28" s="20" t="e">
        <f>#REF!&amp;#REF!&amp;COUNTIF(#REF!,#REF!)</f>
        <v>#REF!</v>
      </c>
      <c r="AC28" s="20" t="e">
        <f>#REF!&amp;#REF!&amp;COUNTIF(#REF!,#REF!)</f>
        <v>#REF!</v>
      </c>
      <c r="AD28" s="20" t="e">
        <f>#REF!&amp;#REF!&amp;COUNTIF(#REF!,#REF!)</f>
        <v>#REF!</v>
      </c>
      <c r="AE28" s="20" t="e">
        <f>#REF!&amp;#REF!&amp;COUNTIF(#REF!,#REF!)</f>
        <v>#REF!</v>
      </c>
      <c r="AF28" s="20" t="e">
        <f>#REF!&amp;#REF!&amp;COUNTIF(#REF!,#REF!)</f>
        <v>#REF!</v>
      </c>
      <c r="AG28" s="20" t="e">
        <f>#REF!&amp;#REF!&amp;COUNTIF(#REF!,#REF!)</f>
        <v>#REF!</v>
      </c>
      <c r="AH28" s="20" t="e">
        <f>#REF!&amp;#REF!&amp;COUNTIF(#REF!,#REF!)</f>
        <v>#REF!</v>
      </c>
      <c r="AI28" s="20" t="e">
        <f>#REF!&amp;#REF!&amp;COUNTIF(#REF!,#REF!)</f>
        <v>#REF!</v>
      </c>
      <c r="AJ28" s="3">
        <v>28</v>
      </c>
      <c r="AM28" s="30" t="e">
        <f t="shared" si="13"/>
        <v>#REF!</v>
      </c>
      <c r="AN28" s="27" t="e">
        <f t="shared" si="15"/>
        <v>#REF!</v>
      </c>
      <c r="AP28" s="46" t="str">
        <f t="shared" si="16"/>
        <v/>
      </c>
      <c r="AQ28" s="31" t="str">
        <f t="shared" si="16"/>
        <v/>
      </c>
      <c r="AR28" s="31" t="str">
        <f t="shared" si="16"/>
        <v/>
      </c>
      <c r="AS28" s="46" t="str">
        <f t="shared" si="16"/>
        <v/>
      </c>
      <c r="AT28" s="31" t="str">
        <f t="shared" si="16"/>
        <v/>
      </c>
      <c r="AU28" s="31" t="str">
        <f t="shared" si="16"/>
        <v/>
      </c>
      <c r="AV28" s="46" t="str">
        <f t="shared" si="16"/>
        <v/>
      </c>
      <c r="AW28" s="31" t="str">
        <f t="shared" si="16"/>
        <v/>
      </c>
      <c r="AX28" s="32" t="str">
        <f t="shared" si="16"/>
        <v/>
      </c>
      <c r="BB28" s="67" t="str">
        <f t="shared" si="14"/>
        <v/>
      </c>
      <c r="BC28" s="67" t="str">
        <f t="shared" si="14"/>
        <v/>
      </c>
      <c r="BD28" s="60" t="str">
        <f>IFERROR(INDEX($E$3:$AI$3,MATCH($AN28&amp;BD$8&amp;ROW(K9),$E$5:$AI$5,0))&amp;"/"&amp;$AN$3,"")</f>
        <v/>
      </c>
    </row>
    <row r="29" spans="1:56" ht="20.25">
      <c r="B29" s="19" t="e">
        <f>#REF!</f>
        <v>#REF!</v>
      </c>
      <c r="C29" s="5" t="e">
        <f>#REF!</f>
        <v>#REF!</v>
      </c>
      <c r="D29" s="5" t="e">
        <f>#REF!</f>
        <v>#REF!</v>
      </c>
      <c r="E29" s="20" t="e">
        <f>#REF!&amp;#REF!&amp;COUNTIF(#REF!,#REF!)</f>
        <v>#REF!</v>
      </c>
      <c r="F29" s="20" t="e">
        <f>#REF!&amp;#REF!&amp;COUNTIF(#REF!,#REF!)</f>
        <v>#REF!</v>
      </c>
      <c r="G29" s="20" t="e">
        <f>#REF!&amp;#REF!&amp;COUNTIF(#REF!,#REF!)</f>
        <v>#REF!</v>
      </c>
      <c r="H29" s="20" t="e">
        <f>#REF!&amp;#REF!&amp;COUNTIF(#REF!,#REF!)</f>
        <v>#REF!</v>
      </c>
      <c r="I29" s="20" t="e">
        <f>#REF!&amp;#REF!&amp;COUNTIF(#REF!,#REF!)</f>
        <v>#REF!</v>
      </c>
      <c r="J29" s="20" t="e">
        <f>#REF!&amp;#REF!&amp;COUNTIF(#REF!,#REF!)</f>
        <v>#REF!</v>
      </c>
      <c r="K29" s="20" t="e">
        <f>#REF!&amp;#REF!&amp;COUNTIF(#REF!,#REF!)</f>
        <v>#REF!</v>
      </c>
      <c r="L29" s="20" t="e">
        <f>#REF!&amp;#REF!&amp;COUNTIF(#REF!,#REF!)</f>
        <v>#REF!</v>
      </c>
      <c r="M29" s="20" t="e">
        <f>#REF!&amp;#REF!&amp;COUNTIF(#REF!,#REF!)</f>
        <v>#REF!</v>
      </c>
      <c r="N29" s="20" t="e">
        <f>#REF!&amp;#REF!&amp;COUNTIF(#REF!,#REF!)</f>
        <v>#REF!</v>
      </c>
      <c r="O29" s="20" t="e">
        <f>#REF!&amp;#REF!&amp;COUNTIF(#REF!,#REF!)</f>
        <v>#REF!</v>
      </c>
      <c r="P29" s="20" t="e">
        <f>#REF!&amp;#REF!&amp;COUNTIF(#REF!,#REF!)</f>
        <v>#REF!</v>
      </c>
      <c r="Q29" s="20" t="e">
        <f>#REF!&amp;#REF!&amp;COUNTIF(#REF!,#REF!)</f>
        <v>#REF!</v>
      </c>
      <c r="R29" s="20" t="e">
        <f>#REF!&amp;#REF!&amp;COUNTIF(#REF!,#REF!)</f>
        <v>#REF!</v>
      </c>
      <c r="S29" s="20" t="e">
        <f>#REF!&amp;#REF!&amp;COUNTIF(#REF!,#REF!)</f>
        <v>#REF!</v>
      </c>
      <c r="T29" s="20" t="e">
        <f>#REF!&amp;#REF!&amp;COUNTIF(#REF!,#REF!)</f>
        <v>#REF!</v>
      </c>
      <c r="U29" s="20" t="e">
        <f>#REF!&amp;#REF!&amp;COUNTIF(#REF!,#REF!)</f>
        <v>#REF!</v>
      </c>
      <c r="V29" s="20" t="e">
        <f>#REF!&amp;#REF!&amp;COUNTIF(#REF!,#REF!)</f>
        <v>#REF!</v>
      </c>
      <c r="W29" s="20" t="e">
        <f>#REF!&amp;#REF!&amp;COUNTIF(#REF!,#REF!)</f>
        <v>#REF!</v>
      </c>
      <c r="X29" s="20" t="e">
        <f>#REF!&amp;#REF!&amp;COUNTIF(#REF!,#REF!)</f>
        <v>#REF!</v>
      </c>
      <c r="Y29" s="20" t="e">
        <f>#REF!&amp;#REF!&amp;COUNTIF(#REF!,#REF!)</f>
        <v>#REF!</v>
      </c>
      <c r="Z29" s="20" t="e">
        <f>#REF!&amp;#REF!&amp;COUNTIF(#REF!,#REF!)</f>
        <v>#REF!</v>
      </c>
      <c r="AA29" s="20" t="e">
        <f>#REF!&amp;#REF!&amp;COUNTIF(#REF!,#REF!)</f>
        <v>#REF!</v>
      </c>
      <c r="AB29" s="20" t="e">
        <f>#REF!&amp;#REF!&amp;COUNTIF(#REF!,#REF!)</f>
        <v>#REF!</v>
      </c>
      <c r="AC29" s="20" t="e">
        <f>#REF!&amp;#REF!&amp;COUNTIF(#REF!,#REF!)</f>
        <v>#REF!</v>
      </c>
      <c r="AD29" s="20" t="e">
        <f>#REF!&amp;#REF!&amp;COUNTIF(#REF!,#REF!)</f>
        <v>#REF!</v>
      </c>
      <c r="AE29" s="20" t="e">
        <f>#REF!&amp;#REF!&amp;COUNTIF(#REF!,#REF!)</f>
        <v>#REF!</v>
      </c>
      <c r="AF29" s="20" t="e">
        <f>#REF!&amp;#REF!&amp;COUNTIF(#REF!,#REF!)</f>
        <v>#REF!</v>
      </c>
      <c r="AG29" s="20" t="e">
        <f>#REF!&amp;#REF!&amp;COUNTIF(#REF!,#REF!)</f>
        <v>#REF!</v>
      </c>
      <c r="AH29" s="20" t="e">
        <f>#REF!&amp;#REF!&amp;COUNTIF(#REF!,#REF!)</f>
        <v>#REF!</v>
      </c>
      <c r="AI29" s="20" t="e">
        <f>#REF!&amp;#REF!&amp;COUNTIF(#REF!,#REF!)</f>
        <v>#REF!</v>
      </c>
      <c r="AJ29" s="3">
        <v>29</v>
      </c>
      <c r="AM29" s="30" t="e">
        <f t="shared" si="13"/>
        <v>#REF!</v>
      </c>
      <c r="AN29" s="27" t="e">
        <f t="shared" si="15"/>
        <v>#REF!</v>
      </c>
      <c r="AP29" s="46" t="str">
        <f t="shared" si="16"/>
        <v/>
      </c>
      <c r="AQ29" s="31" t="str">
        <f t="shared" si="16"/>
        <v/>
      </c>
      <c r="AR29" s="31" t="str">
        <f t="shared" si="16"/>
        <v/>
      </c>
      <c r="AS29" s="46" t="str">
        <f t="shared" si="16"/>
        <v/>
      </c>
      <c r="AT29" s="31" t="str">
        <f t="shared" si="16"/>
        <v/>
      </c>
      <c r="AU29" s="31" t="str">
        <f t="shared" si="16"/>
        <v/>
      </c>
      <c r="AV29" s="46" t="str">
        <f t="shared" si="16"/>
        <v/>
      </c>
      <c r="AW29" s="31" t="str">
        <f t="shared" si="16"/>
        <v/>
      </c>
      <c r="AX29" s="32" t="str">
        <f t="shared" si="16"/>
        <v/>
      </c>
      <c r="BB29" s="67" t="str">
        <f t="shared" si="14"/>
        <v/>
      </c>
      <c r="BC29" s="67" t="str">
        <f t="shared" si="14"/>
        <v/>
      </c>
      <c r="BD29" s="60" t="str">
        <f>IFERROR(INDEX($E$3:$AI$3,MATCH($AN29&amp;BD$8&amp;ROW(K10),$E$5:$AI$5,0))&amp;"/"&amp;$AN$3,"")</f>
        <v/>
      </c>
    </row>
    <row r="30" spans="1:56" ht="21" thickBot="1">
      <c r="B30" s="19" t="e">
        <f>#REF!</f>
        <v>#REF!</v>
      </c>
      <c r="C30" s="5" t="e">
        <f>#REF!</f>
        <v>#REF!</v>
      </c>
      <c r="D30" s="5" t="e">
        <f>#REF!</f>
        <v>#REF!</v>
      </c>
      <c r="E30" s="20" t="e">
        <f>#REF!&amp;#REF!&amp;COUNTIF(#REF!,#REF!)</f>
        <v>#REF!</v>
      </c>
      <c r="F30" s="20" t="e">
        <f>#REF!&amp;#REF!&amp;COUNTIF(#REF!,#REF!)</f>
        <v>#REF!</v>
      </c>
      <c r="G30" s="20" t="e">
        <f>#REF!&amp;#REF!&amp;COUNTIF(#REF!,#REF!)</f>
        <v>#REF!</v>
      </c>
      <c r="H30" s="20" t="e">
        <f>#REF!&amp;#REF!&amp;COUNTIF(#REF!,#REF!)</f>
        <v>#REF!</v>
      </c>
      <c r="I30" s="20" t="e">
        <f>#REF!&amp;#REF!&amp;COUNTIF(#REF!,#REF!)</f>
        <v>#REF!</v>
      </c>
      <c r="J30" s="20" t="e">
        <f>#REF!&amp;#REF!&amp;COUNTIF(#REF!,#REF!)</f>
        <v>#REF!</v>
      </c>
      <c r="K30" s="20" t="e">
        <f>#REF!&amp;#REF!&amp;COUNTIF(#REF!,#REF!)</f>
        <v>#REF!</v>
      </c>
      <c r="L30" s="20" t="e">
        <f>#REF!&amp;#REF!&amp;COUNTIF(#REF!,#REF!)</f>
        <v>#REF!</v>
      </c>
      <c r="M30" s="20" t="e">
        <f>#REF!&amp;#REF!&amp;COUNTIF(#REF!,#REF!)</f>
        <v>#REF!</v>
      </c>
      <c r="N30" s="20" t="e">
        <f>#REF!&amp;#REF!&amp;COUNTIF(#REF!,#REF!)</f>
        <v>#REF!</v>
      </c>
      <c r="O30" s="20" t="e">
        <f>#REF!&amp;#REF!&amp;COUNTIF(#REF!,#REF!)</f>
        <v>#REF!</v>
      </c>
      <c r="P30" s="20" t="e">
        <f>#REF!&amp;#REF!&amp;COUNTIF(#REF!,#REF!)</f>
        <v>#REF!</v>
      </c>
      <c r="Q30" s="20" t="e">
        <f>#REF!&amp;#REF!&amp;COUNTIF(#REF!,#REF!)</f>
        <v>#REF!</v>
      </c>
      <c r="R30" s="20" t="e">
        <f>#REF!&amp;#REF!&amp;COUNTIF(#REF!,#REF!)</f>
        <v>#REF!</v>
      </c>
      <c r="S30" s="20" t="e">
        <f>#REF!&amp;#REF!&amp;COUNTIF(#REF!,#REF!)</f>
        <v>#REF!</v>
      </c>
      <c r="T30" s="20" t="e">
        <f>#REF!&amp;#REF!&amp;COUNTIF(#REF!,#REF!)</f>
        <v>#REF!</v>
      </c>
      <c r="U30" s="20" t="e">
        <f>#REF!&amp;#REF!&amp;COUNTIF(#REF!,#REF!)</f>
        <v>#REF!</v>
      </c>
      <c r="V30" s="20" t="e">
        <f>#REF!&amp;#REF!&amp;COUNTIF(#REF!,#REF!)</f>
        <v>#REF!</v>
      </c>
      <c r="W30" s="20" t="e">
        <f>#REF!&amp;#REF!&amp;COUNTIF(#REF!,#REF!)</f>
        <v>#REF!</v>
      </c>
      <c r="X30" s="20" t="e">
        <f>#REF!&amp;#REF!&amp;COUNTIF(#REF!,#REF!)</f>
        <v>#REF!</v>
      </c>
      <c r="Y30" s="20" t="e">
        <f>#REF!&amp;#REF!&amp;COUNTIF(#REF!,#REF!)</f>
        <v>#REF!</v>
      </c>
      <c r="Z30" s="20" t="e">
        <f>#REF!&amp;#REF!&amp;COUNTIF(#REF!,#REF!)</f>
        <v>#REF!</v>
      </c>
      <c r="AA30" s="20" t="e">
        <f>#REF!&amp;#REF!&amp;COUNTIF(#REF!,#REF!)</f>
        <v>#REF!</v>
      </c>
      <c r="AB30" s="20" t="e">
        <f>#REF!&amp;#REF!&amp;COUNTIF(#REF!,#REF!)</f>
        <v>#REF!</v>
      </c>
      <c r="AC30" s="20" t="e">
        <f>#REF!&amp;#REF!&amp;COUNTIF(#REF!,#REF!)</f>
        <v>#REF!</v>
      </c>
      <c r="AD30" s="20" t="e">
        <f>#REF!&amp;#REF!&amp;COUNTIF(#REF!,#REF!)</f>
        <v>#REF!</v>
      </c>
      <c r="AE30" s="20" t="e">
        <f>#REF!&amp;#REF!&amp;COUNTIF(#REF!,#REF!)</f>
        <v>#REF!</v>
      </c>
      <c r="AF30" s="20" t="e">
        <f>#REF!&amp;#REF!&amp;COUNTIF(#REF!,#REF!)</f>
        <v>#REF!</v>
      </c>
      <c r="AG30" s="20" t="e">
        <f>#REF!&amp;#REF!&amp;COUNTIF(#REF!,#REF!)</f>
        <v>#REF!</v>
      </c>
      <c r="AH30" s="20" t="e">
        <f>#REF!&amp;#REF!&amp;COUNTIF(#REF!,#REF!)</f>
        <v>#REF!</v>
      </c>
      <c r="AI30" s="20" t="e">
        <f>#REF!&amp;#REF!&amp;COUNTIF(#REF!,#REF!)</f>
        <v>#REF!</v>
      </c>
      <c r="AJ30" s="3">
        <v>30</v>
      </c>
      <c r="AM30" s="51" t="e">
        <f t="shared" si="13"/>
        <v>#REF!</v>
      </c>
      <c r="AN30" s="28" t="e">
        <f t="shared" si="15"/>
        <v>#REF!</v>
      </c>
      <c r="AO30" s="26"/>
      <c r="AP30" s="52" t="str">
        <f t="shared" si="16"/>
        <v/>
      </c>
      <c r="AQ30" s="53" t="str">
        <f t="shared" si="16"/>
        <v/>
      </c>
      <c r="AR30" s="53" t="str">
        <f t="shared" si="16"/>
        <v/>
      </c>
      <c r="AS30" s="52" t="str">
        <f t="shared" si="16"/>
        <v/>
      </c>
      <c r="AT30" s="53" t="str">
        <f t="shared" si="16"/>
        <v/>
      </c>
      <c r="AU30" s="53" t="str">
        <f t="shared" si="16"/>
        <v/>
      </c>
      <c r="AV30" s="52" t="str">
        <f t="shared" si="16"/>
        <v/>
      </c>
      <c r="AW30" s="53" t="str">
        <f t="shared" si="16"/>
        <v/>
      </c>
      <c r="AX30" s="54" t="str">
        <f t="shared" si="16"/>
        <v/>
      </c>
      <c r="AZ30" s="26" t="str">
        <f>AP30</f>
        <v/>
      </c>
      <c r="BA30" s="29"/>
      <c r="BB30" s="67" t="str">
        <f t="shared" si="14"/>
        <v/>
      </c>
      <c r="BC30" s="67" t="str">
        <f t="shared" si="14"/>
        <v/>
      </c>
      <c r="BD30" s="61" t="str">
        <f>IFERROR(INDEX($E$3:$AI$3,MATCH($AN30&amp;BD$8&amp;ROW(K11),$E$5:$AI$5,0))&amp;"/"&amp;$AN$3,"")</f>
        <v/>
      </c>
    </row>
    <row r="31" spans="1:56" ht="21" thickBot="1">
      <c r="B31" s="19" t="e">
        <f>#REF!</f>
        <v>#REF!</v>
      </c>
      <c r="C31" s="5" t="e">
        <f>#REF!</f>
        <v>#REF!</v>
      </c>
      <c r="D31" s="5" t="e">
        <f>#REF!</f>
        <v>#REF!</v>
      </c>
      <c r="E31" s="20" t="e">
        <f>#REF!&amp;#REF!&amp;COUNTIF(#REF!,#REF!)</f>
        <v>#REF!</v>
      </c>
      <c r="F31" s="20" t="e">
        <f>#REF!&amp;#REF!&amp;COUNTIF(#REF!,#REF!)</f>
        <v>#REF!</v>
      </c>
      <c r="G31" s="20" t="e">
        <f>#REF!&amp;#REF!&amp;COUNTIF(#REF!,#REF!)</f>
        <v>#REF!</v>
      </c>
      <c r="H31" s="20" t="e">
        <f>#REF!&amp;#REF!&amp;COUNTIF(#REF!,#REF!)</f>
        <v>#REF!</v>
      </c>
      <c r="I31" s="20" t="e">
        <f>#REF!&amp;#REF!&amp;COUNTIF(#REF!,#REF!)</f>
        <v>#REF!</v>
      </c>
      <c r="J31" s="20" t="e">
        <f>#REF!&amp;#REF!&amp;COUNTIF(#REF!,#REF!)</f>
        <v>#REF!</v>
      </c>
      <c r="K31" s="20" t="e">
        <f>#REF!&amp;#REF!&amp;COUNTIF(#REF!,#REF!)</f>
        <v>#REF!</v>
      </c>
      <c r="L31" s="20" t="e">
        <f>#REF!&amp;#REF!&amp;COUNTIF(#REF!,#REF!)</f>
        <v>#REF!</v>
      </c>
      <c r="M31" s="20" t="e">
        <f>#REF!&amp;#REF!&amp;COUNTIF(#REF!,#REF!)</f>
        <v>#REF!</v>
      </c>
      <c r="N31" s="20" t="e">
        <f>#REF!&amp;#REF!&amp;COUNTIF(#REF!,#REF!)</f>
        <v>#REF!</v>
      </c>
      <c r="O31" s="20" t="e">
        <f>#REF!&amp;#REF!&amp;COUNTIF(#REF!,#REF!)</f>
        <v>#REF!</v>
      </c>
      <c r="P31" s="20" t="e">
        <f>#REF!&amp;#REF!&amp;COUNTIF(#REF!,#REF!)</f>
        <v>#REF!</v>
      </c>
      <c r="Q31" s="20" t="e">
        <f>#REF!&amp;#REF!&amp;COUNTIF(#REF!,#REF!)</f>
        <v>#REF!</v>
      </c>
      <c r="R31" s="20" t="e">
        <f>#REF!&amp;#REF!&amp;COUNTIF(#REF!,#REF!)</f>
        <v>#REF!</v>
      </c>
      <c r="S31" s="20" t="e">
        <f>#REF!&amp;#REF!&amp;COUNTIF(#REF!,#REF!)</f>
        <v>#REF!</v>
      </c>
      <c r="T31" s="20" t="e">
        <f>#REF!&amp;#REF!&amp;COUNTIF(#REF!,#REF!)</f>
        <v>#REF!</v>
      </c>
      <c r="U31" s="20" t="e">
        <f>#REF!&amp;#REF!&amp;COUNTIF(#REF!,#REF!)</f>
        <v>#REF!</v>
      </c>
      <c r="V31" s="20" t="e">
        <f>#REF!&amp;#REF!&amp;COUNTIF(#REF!,#REF!)</f>
        <v>#REF!</v>
      </c>
      <c r="W31" s="20" t="e">
        <f>#REF!&amp;#REF!&amp;COUNTIF(#REF!,#REF!)</f>
        <v>#REF!</v>
      </c>
      <c r="X31" s="20" t="e">
        <f>#REF!&amp;#REF!&amp;COUNTIF(#REF!,#REF!)</f>
        <v>#REF!</v>
      </c>
      <c r="Y31" s="20" t="e">
        <f>#REF!&amp;#REF!&amp;COUNTIF(#REF!,#REF!)</f>
        <v>#REF!</v>
      </c>
      <c r="Z31" s="20" t="e">
        <f>#REF!&amp;#REF!&amp;COUNTIF(#REF!,#REF!)</f>
        <v>#REF!</v>
      </c>
      <c r="AA31" s="20" t="e">
        <f>#REF!&amp;#REF!&amp;COUNTIF(#REF!,#REF!)</f>
        <v>#REF!</v>
      </c>
      <c r="AB31" s="20" t="e">
        <f>#REF!&amp;#REF!&amp;COUNTIF(#REF!,#REF!)</f>
        <v>#REF!</v>
      </c>
      <c r="AC31" s="20" t="e">
        <f>#REF!&amp;#REF!&amp;COUNTIF(#REF!,#REF!)</f>
        <v>#REF!</v>
      </c>
      <c r="AD31" s="20" t="e">
        <f>#REF!&amp;#REF!&amp;COUNTIF(#REF!,#REF!)</f>
        <v>#REF!</v>
      </c>
      <c r="AE31" s="20" t="e">
        <f>#REF!&amp;#REF!&amp;COUNTIF(#REF!,#REF!)</f>
        <v>#REF!</v>
      </c>
      <c r="AF31" s="20" t="e">
        <f>#REF!&amp;#REF!&amp;COUNTIF(#REF!,#REF!)</f>
        <v>#REF!</v>
      </c>
      <c r="AG31" s="20" t="e">
        <f>#REF!&amp;#REF!&amp;COUNTIF(#REF!,#REF!)</f>
        <v>#REF!</v>
      </c>
      <c r="AH31" s="20" t="e">
        <f>#REF!&amp;#REF!&amp;COUNTIF(#REF!,#REF!)</f>
        <v>#REF!</v>
      </c>
      <c r="AI31" s="20" t="e">
        <f>#REF!&amp;#REF!&amp;COUNTIF(#REF!,#REF!)</f>
        <v>#REF!</v>
      </c>
      <c r="AJ31" s="3">
        <v>31</v>
      </c>
      <c r="BA31" s="22"/>
      <c r="BB31" s="67" t="str">
        <f t="shared" si="14"/>
        <v/>
      </c>
      <c r="BC31" s="67" t="str">
        <f t="shared" si="14"/>
        <v/>
      </c>
    </row>
    <row r="32" spans="1:56" ht="20.25">
      <c r="B32" s="19" t="e">
        <f>#REF!</f>
        <v>#REF!</v>
      </c>
      <c r="C32" s="5" t="e">
        <f>#REF!</f>
        <v>#REF!</v>
      </c>
      <c r="D32" s="5" t="e">
        <f>#REF!</f>
        <v>#REF!</v>
      </c>
      <c r="E32" s="20" t="e">
        <f>#REF!&amp;#REF!&amp;COUNTIF(#REF!,#REF!)</f>
        <v>#REF!</v>
      </c>
      <c r="F32" s="20" t="e">
        <f>#REF!&amp;#REF!&amp;COUNTIF(#REF!,#REF!)</f>
        <v>#REF!</v>
      </c>
      <c r="G32" s="20" t="e">
        <f>#REF!&amp;#REF!&amp;COUNTIF(#REF!,#REF!)</f>
        <v>#REF!</v>
      </c>
      <c r="H32" s="20" t="e">
        <f>#REF!&amp;#REF!&amp;COUNTIF(#REF!,#REF!)</f>
        <v>#REF!</v>
      </c>
      <c r="I32" s="20" t="e">
        <f>#REF!&amp;#REF!&amp;COUNTIF(#REF!,#REF!)</f>
        <v>#REF!</v>
      </c>
      <c r="J32" s="20" t="e">
        <f>#REF!&amp;#REF!&amp;COUNTIF(#REF!,#REF!)</f>
        <v>#REF!</v>
      </c>
      <c r="K32" s="20" t="e">
        <f>#REF!&amp;#REF!&amp;COUNTIF(#REF!,#REF!)</f>
        <v>#REF!</v>
      </c>
      <c r="L32" s="20" t="e">
        <f>#REF!&amp;#REF!&amp;COUNTIF(#REF!,#REF!)</f>
        <v>#REF!</v>
      </c>
      <c r="M32" s="20" t="e">
        <f>#REF!&amp;#REF!&amp;COUNTIF(#REF!,#REF!)</f>
        <v>#REF!</v>
      </c>
      <c r="N32" s="20" t="e">
        <f>#REF!&amp;#REF!&amp;COUNTIF(#REF!,#REF!)</f>
        <v>#REF!</v>
      </c>
      <c r="O32" s="20" t="e">
        <f>#REF!&amp;#REF!&amp;COUNTIF(#REF!,#REF!)</f>
        <v>#REF!</v>
      </c>
      <c r="P32" s="20" t="e">
        <f>#REF!&amp;#REF!&amp;COUNTIF(#REF!,#REF!)</f>
        <v>#REF!</v>
      </c>
      <c r="Q32" s="20" t="e">
        <f>#REF!&amp;#REF!&amp;COUNTIF(#REF!,#REF!)</f>
        <v>#REF!</v>
      </c>
      <c r="R32" s="20" t="e">
        <f>#REF!&amp;#REF!&amp;COUNTIF(#REF!,#REF!)</f>
        <v>#REF!</v>
      </c>
      <c r="S32" s="20" t="e">
        <f>#REF!&amp;#REF!&amp;COUNTIF(#REF!,#REF!)</f>
        <v>#REF!</v>
      </c>
      <c r="T32" s="20" t="e">
        <f>#REF!&amp;#REF!&amp;COUNTIF(#REF!,#REF!)</f>
        <v>#REF!</v>
      </c>
      <c r="U32" s="20" t="e">
        <f>#REF!&amp;#REF!&amp;COUNTIF(#REF!,#REF!)</f>
        <v>#REF!</v>
      </c>
      <c r="V32" s="20" t="e">
        <f>#REF!&amp;#REF!&amp;COUNTIF(#REF!,#REF!)</f>
        <v>#REF!</v>
      </c>
      <c r="W32" s="20" t="e">
        <f>#REF!&amp;#REF!&amp;COUNTIF(#REF!,#REF!)</f>
        <v>#REF!</v>
      </c>
      <c r="X32" s="20" t="e">
        <f>#REF!&amp;#REF!&amp;COUNTIF(#REF!,#REF!)</f>
        <v>#REF!</v>
      </c>
      <c r="Y32" s="20" t="e">
        <f>#REF!&amp;#REF!&amp;COUNTIF(#REF!,#REF!)</f>
        <v>#REF!</v>
      </c>
      <c r="Z32" s="20" t="e">
        <f>#REF!&amp;#REF!&amp;COUNTIF(#REF!,#REF!)</f>
        <v>#REF!</v>
      </c>
      <c r="AA32" s="20" t="e">
        <f>#REF!&amp;#REF!&amp;COUNTIF(#REF!,#REF!)</f>
        <v>#REF!</v>
      </c>
      <c r="AB32" s="20" t="e">
        <f>#REF!&amp;#REF!&amp;COUNTIF(#REF!,#REF!)</f>
        <v>#REF!</v>
      </c>
      <c r="AC32" s="20" t="e">
        <f>#REF!&amp;#REF!&amp;COUNTIF(#REF!,#REF!)</f>
        <v>#REF!</v>
      </c>
      <c r="AD32" s="20" t="e">
        <f>#REF!&amp;#REF!&amp;COUNTIF(#REF!,#REF!)</f>
        <v>#REF!</v>
      </c>
      <c r="AE32" s="20" t="e">
        <f>#REF!&amp;#REF!&amp;COUNTIF(#REF!,#REF!)</f>
        <v>#REF!</v>
      </c>
      <c r="AF32" s="20" t="e">
        <f>#REF!&amp;#REF!&amp;COUNTIF(#REF!,#REF!)</f>
        <v>#REF!</v>
      </c>
      <c r="AG32" s="20" t="e">
        <f>#REF!&amp;#REF!&amp;COUNTIF(#REF!,#REF!)</f>
        <v>#REF!</v>
      </c>
      <c r="AH32" s="20" t="e">
        <f>#REF!&amp;#REF!&amp;COUNTIF(#REF!,#REF!)</f>
        <v>#REF!</v>
      </c>
      <c r="AI32" s="20" t="e">
        <f>#REF!&amp;#REF!&amp;COUNTIF(#REF!,#REF!)</f>
        <v>#REF!</v>
      </c>
      <c r="AJ32" s="3">
        <v>32</v>
      </c>
      <c r="AM32" s="39"/>
      <c r="AN32" s="40"/>
      <c r="AO32" s="36"/>
      <c r="AP32" s="45" t="s">
        <v>247</v>
      </c>
      <c r="AQ32" s="37" t="s">
        <v>248</v>
      </c>
      <c r="AR32" s="37" t="s">
        <v>249</v>
      </c>
      <c r="AS32" s="45" t="s">
        <v>250</v>
      </c>
      <c r="AT32" s="37" t="s">
        <v>251</v>
      </c>
      <c r="AU32" s="37" t="s">
        <v>252</v>
      </c>
      <c r="AV32" s="45" t="s">
        <v>253</v>
      </c>
      <c r="AW32" s="37" t="s">
        <v>254</v>
      </c>
      <c r="AX32" s="38" t="s">
        <v>255</v>
      </c>
      <c r="AZ32" s="35" t="str">
        <f>$AN$3&amp;" Total"</f>
        <v>7/2021 Total</v>
      </c>
      <c r="BA32" s="47"/>
      <c r="BB32" s="66" t="str">
        <f>IF(COUNTBLANK(AP33:AX33)=9,"","Leave")</f>
        <v/>
      </c>
      <c r="BC32" s="66" t="str">
        <f>IFERROR(VLOOKUP(AM33,#REF!,4,FALSE),"")</f>
        <v/>
      </c>
      <c r="BD32" s="58" t="s">
        <v>256</v>
      </c>
    </row>
    <row r="33" spans="2:56" ht="20.25">
      <c r="B33" s="19" t="e">
        <f>#REF!</f>
        <v>#REF!</v>
      </c>
      <c r="C33" s="5" t="e">
        <f>#REF!</f>
        <v>#REF!</v>
      </c>
      <c r="D33" s="5" t="e">
        <f>#REF!</f>
        <v>#REF!</v>
      </c>
      <c r="E33" s="20" t="e">
        <f>#REF!&amp;#REF!&amp;COUNTIF(#REF!,#REF!)</f>
        <v>#REF!</v>
      </c>
      <c r="F33" s="20" t="e">
        <f>#REF!&amp;#REF!&amp;COUNTIF(#REF!,#REF!)</f>
        <v>#REF!</v>
      </c>
      <c r="G33" s="20" t="e">
        <f>#REF!&amp;#REF!&amp;COUNTIF(#REF!,#REF!)</f>
        <v>#REF!</v>
      </c>
      <c r="H33" s="20" t="e">
        <f>#REF!&amp;#REF!&amp;COUNTIF(#REF!,#REF!)</f>
        <v>#REF!</v>
      </c>
      <c r="I33" s="20" t="e">
        <f>#REF!&amp;#REF!&amp;COUNTIF(#REF!,#REF!)</f>
        <v>#REF!</v>
      </c>
      <c r="J33" s="20" t="e">
        <f>#REF!&amp;#REF!&amp;COUNTIF(#REF!,#REF!)</f>
        <v>#REF!</v>
      </c>
      <c r="K33" s="20" t="e">
        <f>#REF!&amp;#REF!&amp;COUNTIF(#REF!,#REF!)</f>
        <v>#REF!</v>
      </c>
      <c r="L33" s="20" t="e">
        <f>#REF!&amp;#REF!&amp;COUNTIF(#REF!,#REF!)</f>
        <v>#REF!</v>
      </c>
      <c r="M33" s="20" t="e">
        <f>#REF!&amp;#REF!&amp;COUNTIF(#REF!,#REF!)</f>
        <v>#REF!</v>
      </c>
      <c r="N33" s="20" t="e">
        <f>#REF!&amp;#REF!&amp;COUNTIF(#REF!,#REF!)</f>
        <v>#REF!</v>
      </c>
      <c r="O33" s="20" t="e">
        <f>#REF!&amp;#REF!&amp;COUNTIF(#REF!,#REF!)</f>
        <v>#REF!</v>
      </c>
      <c r="P33" s="20" t="e">
        <f>#REF!&amp;#REF!&amp;COUNTIF(#REF!,#REF!)</f>
        <v>#REF!</v>
      </c>
      <c r="Q33" s="20" t="e">
        <f>#REF!&amp;#REF!&amp;COUNTIF(#REF!,#REF!)</f>
        <v>#REF!</v>
      </c>
      <c r="R33" s="20" t="e">
        <f>#REF!&amp;#REF!&amp;COUNTIF(#REF!,#REF!)</f>
        <v>#REF!</v>
      </c>
      <c r="S33" s="20" t="e">
        <f>#REF!&amp;#REF!&amp;COUNTIF(#REF!,#REF!)</f>
        <v>#REF!</v>
      </c>
      <c r="T33" s="20" t="e">
        <f>#REF!&amp;#REF!&amp;COUNTIF(#REF!,#REF!)</f>
        <v>#REF!</v>
      </c>
      <c r="U33" s="20" t="e">
        <f>#REF!&amp;#REF!&amp;COUNTIF(#REF!,#REF!)</f>
        <v>#REF!</v>
      </c>
      <c r="V33" s="20" t="e">
        <f>#REF!&amp;#REF!&amp;COUNTIF(#REF!,#REF!)</f>
        <v>#REF!</v>
      </c>
      <c r="W33" s="20" t="e">
        <f>#REF!&amp;#REF!&amp;COUNTIF(#REF!,#REF!)</f>
        <v>#REF!</v>
      </c>
      <c r="X33" s="20" t="e">
        <f>#REF!&amp;#REF!&amp;COUNTIF(#REF!,#REF!)</f>
        <v>#REF!</v>
      </c>
      <c r="Y33" s="20" t="e">
        <f>#REF!&amp;#REF!&amp;COUNTIF(#REF!,#REF!)</f>
        <v>#REF!</v>
      </c>
      <c r="Z33" s="20" t="e">
        <f>#REF!&amp;#REF!&amp;COUNTIF(#REF!,#REF!)</f>
        <v>#REF!</v>
      </c>
      <c r="AA33" s="20" t="e">
        <f>#REF!&amp;#REF!&amp;COUNTIF(#REF!,#REF!)</f>
        <v>#REF!</v>
      </c>
      <c r="AB33" s="20" t="e">
        <f>#REF!&amp;#REF!&amp;COUNTIF(#REF!,#REF!)</f>
        <v>#REF!</v>
      </c>
      <c r="AC33" s="20" t="e">
        <f>#REF!&amp;#REF!&amp;COUNTIF(#REF!,#REF!)</f>
        <v>#REF!</v>
      </c>
      <c r="AD33" s="20" t="e">
        <f>#REF!&amp;#REF!&amp;COUNTIF(#REF!,#REF!)</f>
        <v>#REF!</v>
      </c>
      <c r="AE33" s="20" t="e">
        <f>#REF!&amp;#REF!&amp;COUNTIF(#REF!,#REF!)</f>
        <v>#REF!</v>
      </c>
      <c r="AF33" s="20" t="e">
        <f>#REF!&amp;#REF!&amp;COUNTIF(#REF!,#REF!)</f>
        <v>#REF!</v>
      </c>
      <c r="AG33" s="20" t="e">
        <f>#REF!&amp;#REF!&amp;COUNTIF(#REF!,#REF!)</f>
        <v>#REF!</v>
      </c>
      <c r="AH33" s="20" t="e">
        <f>#REF!&amp;#REF!&amp;COUNTIF(#REF!,#REF!)</f>
        <v>#REF!</v>
      </c>
      <c r="AI33" s="20" t="e">
        <f>#REF!&amp;#REF!&amp;COUNTIF(#REF!,#REF!)</f>
        <v>#REF!</v>
      </c>
      <c r="AJ33" s="3">
        <v>33</v>
      </c>
      <c r="AM33" s="25" t="e">
        <f>B6</f>
        <v>#REF!</v>
      </c>
      <c r="AN33" s="34" t="e">
        <f>D6</f>
        <v>#REF!</v>
      </c>
      <c r="AP33" s="46" t="str">
        <f t="shared" ref="AP33:AU38" si="17">IFERROR(INDEX($E$3:$AI$3,MATCH($AN33&amp;AP$8&amp;ROW(A1),$E$6:$AI$6,0))&amp;"/"&amp;$AN$3,"")</f>
        <v/>
      </c>
      <c r="AQ33" s="31" t="str">
        <f t="shared" si="17"/>
        <v/>
      </c>
      <c r="AR33" s="31" t="str">
        <f t="shared" si="17"/>
        <v/>
      </c>
      <c r="AS33" s="46" t="str">
        <f t="shared" si="17"/>
        <v/>
      </c>
      <c r="AT33" s="31" t="str">
        <f t="shared" si="17"/>
        <v/>
      </c>
      <c r="AU33" s="31" t="str">
        <f t="shared" si="17"/>
        <v/>
      </c>
      <c r="AV33" s="46" t="str">
        <f t="shared" ref="AV33:AX38" si="18">IFERROR(INDEX($E$3:$AI$3,MATCH($AN33&amp;AV$8&amp;ROW(G1),$E$6:$AI$6,0))&amp;"/"&amp;$AN$3,"")</f>
        <v/>
      </c>
      <c r="AW33" s="31" t="str">
        <f t="shared" si="18"/>
        <v/>
      </c>
      <c r="AX33" s="32" t="str">
        <f t="shared" si="18"/>
        <v/>
      </c>
      <c r="AZ33" s="48" t="s">
        <v>257</v>
      </c>
      <c r="BA33" s="49">
        <f>COUNTA(AP33:AP42)-COUNTBLANK(AP33:AP42)+(COUNTA(AQ33:AQ42)-COUNTBLANK(AQ33:AQ42))*0.5+(COUNTA(AR33:AR42)-COUNTBLANK(AR33:AR42))*0.5</f>
        <v>0</v>
      </c>
      <c r="BB33" s="67" t="str">
        <f>BB32</f>
        <v/>
      </c>
      <c r="BC33" s="67" t="str">
        <f>BC32</f>
        <v/>
      </c>
      <c r="BD33" s="59" t="str">
        <f t="shared" ref="BD33:BD38" si="19">IFERROR(INDEX($E$3:$AI$3,MATCH($AN33&amp;BD$8&amp;ROW(K1),$E$6:$AI$6,0))&amp;"/"&amp;$AN$3,"")</f>
        <v/>
      </c>
    </row>
    <row r="34" spans="2:56" ht="20.25">
      <c r="B34" s="19" t="e">
        <f>#REF!</f>
        <v>#REF!</v>
      </c>
      <c r="C34" s="5" t="e">
        <f>#REF!</f>
        <v>#REF!</v>
      </c>
      <c r="D34" s="5" t="e">
        <f>#REF!</f>
        <v>#REF!</v>
      </c>
      <c r="E34" s="20" t="e">
        <f>#REF!&amp;#REF!&amp;COUNTIF(#REF!,#REF!)</f>
        <v>#REF!</v>
      </c>
      <c r="F34" s="20" t="e">
        <f>#REF!&amp;#REF!&amp;COUNTIF(#REF!,#REF!)</f>
        <v>#REF!</v>
      </c>
      <c r="G34" s="20" t="e">
        <f>#REF!&amp;#REF!&amp;COUNTIF(#REF!,#REF!)</f>
        <v>#REF!</v>
      </c>
      <c r="H34" s="20" t="e">
        <f>#REF!&amp;#REF!&amp;COUNTIF(#REF!,#REF!)</f>
        <v>#REF!</v>
      </c>
      <c r="I34" s="20" t="e">
        <f>#REF!&amp;#REF!&amp;COUNTIF(#REF!,#REF!)</f>
        <v>#REF!</v>
      </c>
      <c r="J34" s="20" t="e">
        <f>#REF!&amp;#REF!&amp;COUNTIF(#REF!,#REF!)</f>
        <v>#REF!</v>
      </c>
      <c r="K34" s="20" t="e">
        <f>#REF!&amp;#REF!&amp;COUNTIF(#REF!,#REF!)</f>
        <v>#REF!</v>
      </c>
      <c r="L34" s="20" t="e">
        <f>#REF!&amp;#REF!&amp;COUNTIF(#REF!,#REF!)</f>
        <v>#REF!</v>
      </c>
      <c r="M34" s="20" t="e">
        <f>#REF!&amp;#REF!&amp;COUNTIF(#REF!,#REF!)</f>
        <v>#REF!</v>
      </c>
      <c r="N34" s="20" t="e">
        <f>#REF!&amp;#REF!&amp;COUNTIF(#REF!,#REF!)</f>
        <v>#REF!</v>
      </c>
      <c r="O34" s="20" t="e">
        <f>#REF!&amp;#REF!&amp;COUNTIF(#REF!,#REF!)</f>
        <v>#REF!</v>
      </c>
      <c r="P34" s="20" t="e">
        <f>#REF!&amp;#REF!&amp;COUNTIF(#REF!,#REF!)</f>
        <v>#REF!</v>
      </c>
      <c r="Q34" s="20" t="e">
        <f>#REF!&amp;#REF!&amp;COUNTIF(#REF!,#REF!)</f>
        <v>#REF!</v>
      </c>
      <c r="R34" s="20" t="e">
        <f>#REF!&amp;#REF!&amp;COUNTIF(#REF!,#REF!)</f>
        <v>#REF!</v>
      </c>
      <c r="S34" s="20" t="e">
        <f>#REF!&amp;#REF!&amp;COUNTIF(#REF!,#REF!)</f>
        <v>#REF!</v>
      </c>
      <c r="T34" s="20" t="e">
        <f>#REF!&amp;#REF!&amp;COUNTIF(#REF!,#REF!)</f>
        <v>#REF!</v>
      </c>
      <c r="U34" s="20" t="e">
        <f>#REF!&amp;#REF!&amp;COUNTIF(#REF!,#REF!)</f>
        <v>#REF!</v>
      </c>
      <c r="V34" s="20" t="e">
        <f>#REF!&amp;#REF!&amp;COUNTIF(#REF!,#REF!)</f>
        <v>#REF!</v>
      </c>
      <c r="W34" s="20" t="e">
        <f>#REF!&amp;#REF!&amp;COUNTIF(#REF!,#REF!)</f>
        <v>#REF!</v>
      </c>
      <c r="X34" s="20" t="e">
        <f>#REF!&amp;#REF!&amp;COUNTIF(#REF!,#REF!)</f>
        <v>#REF!</v>
      </c>
      <c r="Y34" s="20" t="e">
        <f>#REF!&amp;#REF!&amp;COUNTIF(#REF!,#REF!)</f>
        <v>#REF!</v>
      </c>
      <c r="Z34" s="20" t="e">
        <f>#REF!&amp;#REF!&amp;COUNTIF(#REF!,#REF!)</f>
        <v>#REF!</v>
      </c>
      <c r="AA34" s="20" t="e">
        <f>#REF!&amp;#REF!&amp;COUNTIF(#REF!,#REF!)</f>
        <v>#REF!</v>
      </c>
      <c r="AB34" s="20" t="e">
        <f>#REF!&amp;#REF!&amp;COUNTIF(#REF!,#REF!)</f>
        <v>#REF!</v>
      </c>
      <c r="AC34" s="20" t="e">
        <f>#REF!&amp;#REF!&amp;COUNTIF(#REF!,#REF!)</f>
        <v>#REF!</v>
      </c>
      <c r="AD34" s="20" t="e">
        <f>#REF!&amp;#REF!&amp;COUNTIF(#REF!,#REF!)</f>
        <v>#REF!</v>
      </c>
      <c r="AE34" s="20" t="e">
        <f>#REF!&amp;#REF!&amp;COUNTIF(#REF!,#REF!)</f>
        <v>#REF!</v>
      </c>
      <c r="AF34" s="20" t="e">
        <f>#REF!&amp;#REF!&amp;COUNTIF(#REF!,#REF!)</f>
        <v>#REF!</v>
      </c>
      <c r="AG34" s="20" t="e">
        <f>#REF!&amp;#REF!&amp;COUNTIF(#REF!,#REF!)</f>
        <v>#REF!</v>
      </c>
      <c r="AH34" s="20" t="e">
        <f>#REF!&amp;#REF!&amp;COUNTIF(#REF!,#REF!)</f>
        <v>#REF!</v>
      </c>
      <c r="AI34" s="20" t="e">
        <f>#REF!&amp;#REF!&amp;COUNTIF(#REF!,#REF!)</f>
        <v>#REF!</v>
      </c>
      <c r="AJ34" s="3">
        <v>34</v>
      </c>
      <c r="AM34" s="30" t="e">
        <f t="shared" ref="AM34:AM42" si="20">AM33</f>
        <v>#REF!</v>
      </c>
      <c r="AN34" s="27" t="e">
        <f>AN33</f>
        <v>#REF!</v>
      </c>
      <c r="AP34" s="46" t="str">
        <f t="shared" si="17"/>
        <v/>
      </c>
      <c r="AQ34" s="31" t="str">
        <f t="shared" si="17"/>
        <v/>
      </c>
      <c r="AR34" s="31" t="str">
        <f t="shared" si="17"/>
        <v/>
      </c>
      <c r="AS34" s="46" t="str">
        <f t="shared" si="17"/>
        <v/>
      </c>
      <c r="AT34" s="31" t="str">
        <f t="shared" si="17"/>
        <v/>
      </c>
      <c r="AU34" s="31" t="str">
        <f t="shared" si="17"/>
        <v/>
      </c>
      <c r="AV34" s="46" t="str">
        <f t="shared" si="18"/>
        <v/>
      </c>
      <c r="AW34" s="31" t="str">
        <f t="shared" si="18"/>
        <v/>
      </c>
      <c r="AX34" s="32" t="str">
        <f t="shared" si="18"/>
        <v/>
      </c>
      <c r="AZ34" s="48" t="s">
        <v>258</v>
      </c>
      <c r="BA34" s="49">
        <f>COUNTA(AS33:AS42)-COUNTBLANK(AS33:AS42)+(COUNTA(AT33:AT42)-COUNTBLANK(AT33:AT42))*0.5+(COUNTA(AU33:AU42)-COUNTBLANK(AU33:AU42))*0.5</f>
        <v>0</v>
      </c>
      <c r="BB34" s="67" t="str">
        <f t="shared" ref="BB34:BC43" si="21">BB33</f>
        <v/>
      </c>
      <c r="BC34" s="67" t="str">
        <f t="shared" si="21"/>
        <v/>
      </c>
      <c r="BD34" s="60" t="str">
        <f t="shared" si="19"/>
        <v/>
      </c>
    </row>
    <row r="35" spans="2:56" ht="20.25">
      <c r="B35" s="19" t="e">
        <f>#REF!</f>
        <v>#REF!</v>
      </c>
      <c r="C35" s="5" t="e">
        <f>#REF!</f>
        <v>#REF!</v>
      </c>
      <c r="D35" s="5" t="e">
        <f>#REF!</f>
        <v>#REF!</v>
      </c>
      <c r="E35" s="20" t="e">
        <f>#REF!&amp;#REF!&amp;COUNTIF(#REF!,#REF!)</f>
        <v>#REF!</v>
      </c>
      <c r="F35" s="20" t="e">
        <f>#REF!&amp;#REF!&amp;COUNTIF(#REF!,#REF!)</f>
        <v>#REF!</v>
      </c>
      <c r="G35" s="20" t="e">
        <f>#REF!&amp;#REF!&amp;COUNTIF(#REF!,#REF!)</f>
        <v>#REF!</v>
      </c>
      <c r="H35" s="20" t="e">
        <f>#REF!&amp;#REF!&amp;COUNTIF(#REF!,#REF!)</f>
        <v>#REF!</v>
      </c>
      <c r="I35" s="20" t="e">
        <f>#REF!&amp;#REF!&amp;COUNTIF(#REF!,#REF!)</f>
        <v>#REF!</v>
      </c>
      <c r="J35" s="20" t="e">
        <f>#REF!&amp;#REF!&amp;COUNTIF(#REF!,#REF!)</f>
        <v>#REF!</v>
      </c>
      <c r="K35" s="20" t="e">
        <f>#REF!&amp;#REF!&amp;COUNTIF(#REF!,#REF!)</f>
        <v>#REF!</v>
      </c>
      <c r="L35" s="20" t="e">
        <f>#REF!&amp;#REF!&amp;COUNTIF(#REF!,#REF!)</f>
        <v>#REF!</v>
      </c>
      <c r="M35" s="20" t="e">
        <f>#REF!&amp;#REF!&amp;COUNTIF(#REF!,#REF!)</f>
        <v>#REF!</v>
      </c>
      <c r="N35" s="20" t="e">
        <f>#REF!&amp;#REF!&amp;COUNTIF(#REF!,#REF!)</f>
        <v>#REF!</v>
      </c>
      <c r="O35" s="20" t="e">
        <f>#REF!&amp;#REF!&amp;COUNTIF(#REF!,#REF!)</f>
        <v>#REF!</v>
      </c>
      <c r="P35" s="20" t="e">
        <f>#REF!&amp;#REF!&amp;COUNTIF(#REF!,#REF!)</f>
        <v>#REF!</v>
      </c>
      <c r="Q35" s="20" t="e">
        <f>#REF!&amp;#REF!&amp;COUNTIF(#REF!,#REF!)</f>
        <v>#REF!</v>
      </c>
      <c r="R35" s="20" t="e">
        <f>#REF!&amp;#REF!&amp;COUNTIF(#REF!,#REF!)</f>
        <v>#REF!</v>
      </c>
      <c r="S35" s="20" t="e">
        <f>#REF!&amp;#REF!&amp;COUNTIF(#REF!,#REF!)</f>
        <v>#REF!</v>
      </c>
      <c r="T35" s="20" t="e">
        <f>#REF!&amp;#REF!&amp;COUNTIF(#REF!,#REF!)</f>
        <v>#REF!</v>
      </c>
      <c r="U35" s="20" t="e">
        <f>#REF!&amp;#REF!&amp;COUNTIF(#REF!,#REF!)</f>
        <v>#REF!</v>
      </c>
      <c r="V35" s="20" t="e">
        <f>#REF!&amp;#REF!&amp;COUNTIF(#REF!,#REF!)</f>
        <v>#REF!</v>
      </c>
      <c r="W35" s="20" t="e">
        <f>#REF!&amp;#REF!&amp;COUNTIF(#REF!,#REF!)</f>
        <v>#REF!</v>
      </c>
      <c r="X35" s="20" t="e">
        <f>#REF!&amp;#REF!&amp;COUNTIF(#REF!,#REF!)</f>
        <v>#REF!</v>
      </c>
      <c r="Y35" s="20" t="e">
        <f>#REF!&amp;#REF!&amp;COUNTIF(#REF!,#REF!)</f>
        <v>#REF!</v>
      </c>
      <c r="Z35" s="20" t="e">
        <f>#REF!&amp;#REF!&amp;COUNTIF(#REF!,#REF!)</f>
        <v>#REF!</v>
      </c>
      <c r="AA35" s="20" t="e">
        <f>#REF!&amp;#REF!&amp;COUNTIF(#REF!,#REF!)</f>
        <v>#REF!</v>
      </c>
      <c r="AB35" s="20" t="e">
        <f>#REF!&amp;#REF!&amp;COUNTIF(#REF!,#REF!)</f>
        <v>#REF!</v>
      </c>
      <c r="AC35" s="20" t="e">
        <f>#REF!&amp;#REF!&amp;COUNTIF(#REF!,#REF!)</f>
        <v>#REF!</v>
      </c>
      <c r="AD35" s="20" t="e">
        <f>#REF!&amp;#REF!&amp;COUNTIF(#REF!,#REF!)</f>
        <v>#REF!</v>
      </c>
      <c r="AE35" s="20" t="e">
        <f>#REF!&amp;#REF!&amp;COUNTIF(#REF!,#REF!)</f>
        <v>#REF!</v>
      </c>
      <c r="AF35" s="20" t="e">
        <f>#REF!&amp;#REF!&amp;COUNTIF(#REF!,#REF!)</f>
        <v>#REF!</v>
      </c>
      <c r="AG35" s="20" t="e">
        <f>#REF!&amp;#REF!&amp;COUNTIF(#REF!,#REF!)</f>
        <v>#REF!</v>
      </c>
      <c r="AH35" s="20" t="e">
        <f>#REF!&amp;#REF!&amp;COUNTIF(#REF!,#REF!)</f>
        <v>#REF!</v>
      </c>
      <c r="AI35" s="20" t="e">
        <f>#REF!&amp;#REF!&amp;COUNTIF(#REF!,#REF!)</f>
        <v>#REF!</v>
      </c>
      <c r="AJ35" s="3">
        <v>35</v>
      </c>
      <c r="AM35" s="30" t="e">
        <f t="shared" si="20"/>
        <v>#REF!</v>
      </c>
      <c r="AN35" s="27" t="e">
        <f t="shared" ref="AN35:AN42" si="22">AN34</f>
        <v>#REF!</v>
      </c>
      <c r="AP35" s="46" t="str">
        <f t="shared" si="17"/>
        <v/>
      </c>
      <c r="AQ35" s="31" t="str">
        <f t="shared" si="17"/>
        <v/>
      </c>
      <c r="AR35" s="31" t="str">
        <f t="shared" si="17"/>
        <v/>
      </c>
      <c r="AS35" s="46" t="str">
        <f t="shared" si="17"/>
        <v/>
      </c>
      <c r="AT35" s="31" t="str">
        <f t="shared" si="17"/>
        <v/>
      </c>
      <c r="AU35" s="31" t="str">
        <f t="shared" si="17"/>
        <v/>
      </c>
      <c r="AV35" s="46" t="str">
        <f t="shared" si="18"/>
        <v/>
      </c>
      <c r="AW35" s="31" t="str">
        <f t="shared" si="18"/>
        <v/>
      </c>
      <c r="AX35" s="32" t="str">
        <f t="shared" si="18"/>
        <v/>
      </c>
      <c r="AZ35" s="48" t="s">
        <v>259</v>
      </c>
      <c r="BA35" s="49">
        <f>COUNTA(AV33:AV42)-COUNTBLANK(AV33:AV42)+(COUNTA(AW33:AW42)-COUNTBLANK(AW33:AW42))*0.5+(COUNTA(AX33:AX42)-COUNTBLANK(AX33:AX42))*0.5</f>
        <v>0</v>
      </c>
      <c r="BB35" s="67" t="str">
        <f t="shared" si="21"/>
        <v/>
      </c>
      <c r="BC35" s="67" t="str">
        <f t="shared" si="21"/>
        <v/>
      </c>
      <c r="BD35" s="60" t="str">
        <f t="shared" si="19"/>
        <v/>
      </c>
    </row>
    <row r="36" spans="2:56" ht="20.25">
      <c r="B36" s="19" t="e">
        <f>#REF!</f>
        <v>#REF!</v>
      </c>
      <c r="C36" s="5" t="e">
        <f>#REF!</f>
        <v>#REF!</v>
      </c>
      <c r="D36" s="5" t="e">
        <f>#REF!</f>
        <v>#REF!</v>
      </c>
      <c r="E36" s="20" t="e">
        <f>#REF!&amp;#REF!&amp;COUNTIF(#REF!,#REF!)</f>
        <v>#REF!</v>
      </c>
      <c r="F36" s="20" t="e">
        <f>#REF!&amp;#REF!&amp;COUNTIF(#REF!,#REF!)</f>
        <v>#REF!</v>
      </c>
      <c r="G36" s="20" t="e">
        <f>#REF!&amp;#REF!&amp;COUNTIF(#REF!,#REF!)</f>
        <v>#REF!</v>
      </c>
      <c r="H36" s="20" t="e">
        <f>#REF!&amp;#REF!&amp;COUNTIF(#REF!,#REF!)</f>
        <v>#REF!</v>
      </c>
      <c r="I36" s="20" t="e">
        <f>#REF!&amp;#REF!&amp;COUNTIF(#REF!,#REF!)</f>
        <v>#REF!</v>
      </c>
      <c r="J36" s="20" t="e">
        <f>#REF!&amp;#REF!&amp;COUNTIF(#REF!,#REF!)</f>
        <v>#REF!</v>
      </c>
      <c r="K36" s="20" t="e">
        <f>#REF!&amp;#REF!&amp;COUNTIF(#REF!,#REF!)</f>
        <v>#REF!</v>
      </c>
      <c r="L36" s="20" t="e">
        <f>#REF!&amp;#REF!&amp;COUNTIF(#REF!,#REF!)</f>
        <v>#REF!</v>
      </c>
      <c r="M36" s="20" t="e">
        <f>#REF!&amp;#REF!&amp;COUNTIF(#REF!,#REF!)</f>
        <v>#REF!</v>
      </c>
      <c r="N36" s="20" t="e">
        <f>#REF!&amp;#REF!&amp;COUNTIF(#REF!,#REF!)</f>
        <v>#REF!</v>
      </c>
      <c r="O36" s="20" t="e">
        <f>#REF!&amp;#REF!&amp;COUNTIF(#REF!,#REF!)</f>
        <v>#REF!</v>
      </c>
      <c r="P36" s="20" t="e">
        <f>#REF!&amp;#REF!&amp;COUNTIF(#REF!,#REF!)</f>
        <v>#REF!</v>
      </c>
      <c r="Q36" s="20" t="e">
        <f>#REF!&amp;#REF!&amp;COUNTIF(#REF!,#REF!)</f>
        <v>#REF!</v>
      </c>
      <c r="R36" s="20" t="e">
        <f>#REF!&amp;#REF!&amp;COUNTIF(#REF!,#REF!)</f>
        <v>#REF!</v>
      </c>
      <c r="S36" s="20" t="e">
        <f>#REF!&amp;#REF!&amp;COUNTIF(#REF!,#REF!)</f>
        <v>#REF!</v>
      </c>
      <c r="T36" s="20" t="e">
        <f>#REF!&amp;#REF!&amp;COUNTIF(#REF!,#REF!)</f>
        <v>#REF!</v>
      </c>
      <c r="U36" s="20" t="e">
        <f>#REF!&amp;#REF!&amp;COUNTIF(#REF!,#REF!)</f>
        <v>#REF!</v>
      </c>
      <c r="V36" s="20" t="e">
        <f>#REF!&amp;#REF!&amp;COUNTIF(#REF!,#REF!)</f>
        <v>#REF!</v>
      </c>
      <c r="W36" s="20" t="e">
        <f>#REF!&amp;#REF!&amp;COUNTIF(#REF!,#REF!)</f>
        <v>#REF!</v>
      </c>
      <c r="X36" s="20" t="e">
        <f>#REF!&amp;#REF!&amp;COUNTIF(#REF!,#REF!)</f>
        <v>#REF!</v>
      </c>
      <c r="Y36" s="20" t="e">
        <f>#REF!&amp;#REF!&amp;COUNTIF(#REF!,#REF!)</f>
        <v>#REF!</v>
      </c>
      <c r="Z36" s="20" t="e">
        <f>#REF!&amp;#REF!&amp;COUNTIF(#REF!,#REF!)</f>
        <v>#REF!</v>
      </c>
      <c r="AA36" s="20" t="e">
        <f>#REF!&amp;#REF!&amp;COUNTIF(#REF!,#REF!)</f>
        <v>#REF!</v>
      </c>
      <c r="AB36" s="20" t="e">
        <f>#REF!&amp;#REF!&amp;COUNTIF(#REF!,#REF!)</f>
        <v>#REF!</v>
      </c>
      <c r="AC36" s="20" t="e">
        <f>#REF!&amp;#REF!&amp;COUNTIF(#REF!,#REF!)</f>
        <v>#REF!</v>
      </c>
      <c r="AD36" s="20" t="e">
        <f>#REF!&amp;#REF!&amp;COUNTIF(#REF!,#REF!)</f>
        <v>#REF!</v>
      </c>
      <c r="AE36" s="20" t="e">
        <f>#REF!&amp;#REF!&amp;COUNTIF(#REF!,#REF!)</f>
        <v>#REF!</v>
      </c>
      <c r="AF36" s="20" t="e">
        <f>#REF!&amp;#REF!&amp;COUNTIF(#REF!,#REF!)</f>
        <v>#REF!</v>
      </c>
      <c r="AG36" s="20" t="e">
        <f>#REF!&amp;#REF!&amp;COUNTIF(#REF!,#REF!)</f>
        <v>#REF!</v>
      </c>
      <c r="AH36" s="20" t="e">
        <f>#REF!&amp;#REF!&amp;COUNTIF(#REF!,#REF!)</f>
        <v>#REF!</v>
      </c>
      <c r="AI36" s="20" t="e">
        <f>#REF!&amp;#REF!&amp;COUNTIF(#REF!,#REF!)</f>
        <v>#REF!</v>
      </c>
      <c r="AJ36" s="3">
        <v>36</v>
      </c>
      <c r="AM36" s="30" t="e">
        <f t="shared" si="20"/>
        <v>#REF!</v>
      </c>
      <c r="AN36" s="27" t="e">
        <f t="shared" si="22"/>
        <v>#REF!</v>
      </c>
      <c r="AP36" s="46" t="str">
        <f t="shared" si="17"/>
        <v/>
      </c>
      <c r="AQ36" s="31" t="str">
        <f t="shared" si="17"/>
        <v/>
      </c>
      <c r="AR36" s="31" t="str">
        <f t="shared" si="17"/>
        <v/>
      </c>
      <c r="AS36" s="46" t="str">
        <f t="shared" si="17"/>
        <v/>
      </c>
      <c r="AT36" s="31" t="str">
        <f t="shared" si="17"/>
        <v/>
      </c>
      <c r="AU36" s="31" t="str">
        <f t="shared" si="17"/>
        <v/>
      </c>
      <c r="AV36" s="46" t="str">
        <f t="shared" si="18"/>
        <v/>
      </c>
      <c r="AW36" s="31" t="str">
        <f t="shared" si="18"/>
        <v/>
      </c>
      <c r="AX36" s="32" t="str">
        <f t="shared" si="18"/>
        <v/>
      </c>
      <c r="AZ36" s="33"/>
      <c r="BA36" s="23"/>
      <c r="BB36" s="67" t="str">
        <f t="shared" si="21"/>
        <v/>
      </c>
      <c r="BC36" s="67" t="str">
        <f t="shared" si="21"/>
        <v/>
      </c>
      <c r="BD36" s="60" t="str">
        <f t="shared" si="19"/>
        <v/>
      </c>
    </row>
    <row r="37" spans="2:56" ht="20.25">
      <c r="B37" s="19" t="e">
        <f>#REF!</f>
        <v>#REF!</v>
      </c>
      <c r="C37" s="5" t="e">
        <f>#REF!</f>
        <v>#REF!</v>
      </c>
      <c r="D37" s="5" t="e">
        <f>#REF!</f>
        <v>#REF!</v>
      </c>
      <c r="E37" s="20" t="e">
        <f>#REF!&amp;#REF!&amp;COUNTIF(#REF!,#REF!)</f>
        <v>#REF!</v>
      </c>
      <c r="F37" s="20" t="e">
        <f>#REF!&amp;#REF!&amp;COUNTIF(#REF!,#REF!)</f>
        <v>#REF!</v>
      </c>
      <c r="G37" s="20" t="e">
        <f>#REF!&amp;#REF!&amp;COUNTIF(#REF!,#REF!)</f>
        <v>#REF!</v>
      </c>
      <c r="H37" s="20" t="e">
        <f>#REF!&amp;#REF!&amp;COUNTIF(#REF!,#REF!)</f>
        <v>#REF!</v>
      </c>
      <c r="I37" s="20" t="e">
        <f>#REF!&amp;#REF!&amp;COUNTIF(#REF!,#REF!)</f>
        <v>#REF!</v>
      </c>
      <c r="J37" s="20" t="e">
        <f>#REF!&amp;#REF!&amp;COUNTIF(#REF!,#REF!)</f>
        <v>#REF!</v>
      </c>
      <c r="K37" s="20" t="e">
        <f>#REF!&amp;#REF!&amp;COUNTIF(#REF!,#REF!)</f>
        <v>#REF!</v>
      </c>
      <c r="L37" s="20" t="e">
        <f>#REF!&amp;#REF!&amp;COUNTIF(#REF!,#REF!)</f>
        <v>#REF!</v>
      </c>
      <c r="M37" s="20" t="e">
        <f>#REF!&amp;#REF!&amp;COUNTIF(#REF!,#REF!)</f>
        <v>#REF!</v>
      </c>
      <c r="N37" s="20" t="e">
        <f>#REF!&amp;#REF!&amp;COUNTIF(#REF!,#REF!)</f>
        <v>#REF!</v>
      </c>
      <c r="O37" s="20" t="e">
        <f>#REF!&amp;#REF!&amp;COUNTIF(#REF!,#REF!)</f>
        <v>#REF!</v>
      </c>
      <c r="P37" s="20" t="e">
        <f>#REF!&amp;#REF!&amp;COUNTIF(#REF!,#REF!)</f>
        <v>#REF!</v>
      </c>
      <c r="Q37" s="20" t="e">
        <f>#REF!&amp;#REF!&amp;COUNTIF(#REF!,#REF!)</f>
        <v>#REF!</v>
      </c>
      <c r="R37" s="20" t="e">
        <f>#REF!&amp;#REF!&amp;COUNTIF(#REF!,#REF!)</f>
        <v>#REF!</v>
      </c>
      <c r="S37" s="20" t="e">
        <f>#REF!&amp;#REF!&amp;COUNTIF(#REF!,#REF!)</f>
        <v>#REF!</v>
      </c>
      <c r="T37" s="20" t="e">
        <f>#REF!&amp;#REF!&amp;COUNTIF(#REF!,#REF!)</f>
        <v>#REF!</v>
      </c>
      <c r="U37" s="20" t="e">
        <f>#REF!&amp;#REF!&amp;COUNTIF(#REF!,#REF!)</f>
        <v>#REF!</v>
      </c>
      <c r="V37" s="20" t="e">
        <f>#REF!&amp;#REF!&amp;COUNTIF(#REF!,#REF!)</f>
        <v>#REF!</v>
      </c>
      <c r="W37" s="20" t="e">
        <f>#REF!&amp;#REF!&amp;COUNTIF(#REF!,#REF!)</f>
        <v>#REF!</v>
      </c>
      <c r="X37" s="20" t="e">
        <f>#REF!&amp;#REF!&amp;COUNTIF(#REF!,#REF!)</f>
        <v>#REF!</v>
      </c>
      <c r="Y37" s="20" t="e">
        <f>#REF!&amp;#REF!&amp;COUNTIF(#REF!,#REF!)</f>
        <v>#REF!</v>
      </c>
      <c r="Z37" s="20" t="e">
        <f>#REF!&amp;#REF!&amp;COUNTIF(#REF!,#REF!)</f>
        <v>#REF!</v>
      </c>
      <c r="AA37" s="20" t="e">
        <f>#REF!&amp;#REF!&amp;COUNTIF(#REF!,#REF!)</f>
        <v>#REF!</v>
      </c>
      <c r="AB37" s="20" t="e">
        <f>#REF!&amp;#REF!&amp;COUNTIF(#REF!,#REF!)</f>
        <v>#REF!</v>
      </c>
      <c r="AC37" s="20" t="e">
        <f>#REF!&amp;#REF!&amp;COUNTIF(#REF!,#REF!)</f>
        <v>#REF!</v>
      </c>
      <c r="AD37" s="20" t="e">
        <f>#REF!&amp;#REF!&amp;COUNTIF(#REF!,#REF!)</f>
        <v>#REF!</v>
      </c>
      <c r="AE37" s="20" t="e">
        <f>#REF!&amp;#REF!&amp;COUNTIF(#REF!,#REF!)</f>
        <v>#REF!</v>
      </c>
      <c r="AF37" s="20" t="e">
        <f>#REF!&amp;#REF!&amp;COUNTIF(#REF!,#REF!)</f>
        <v>#REF!</v>
      </c>
      <c r="AG37" s="20" t="e">
        <f>#REF!&amp;#REF!&amp;COUNTIF(#REF!,#REF!)</f>
        <v>#REF!</v>
      </c>
      <c r="AH37" s="20" t="e">
        <f>#REF!&amp;#REF!&amp;COUNTIF(#REF!,#REF!)</f>
        <v>#REF!</v>
      </c>
      <c r="AI37" s="20" t="e">
        <f>#REF!&amp;#REF!&amp;COUNTIF(#REF!,#REF!)</f>
        <v>#REF!</v>
      </c>
      <c r="AJ37" s="3">
        <v>37</v>
      </c>
      <c r="AM37" s="30" t="e">
        <f t="shared" si="20"/>
        <v>#REF!</v>
      </c>
      <c r="AN37" s="27" t="e">
        <f t="shared" si="22"/>
        <v>#REF!</v>
      </c>
      <c r="AP37" s="46" t="str">
        <f t="shared" si="17"/>
        <v/>
      </c>
      <c r="AQ37" s="31" t="str">
        <f t="shared" si="17"/>
        <v/>
      </c>
      <c r="AR37" s="31" t="str">
        <f t="shared" si="17"/>
        <v/>
      </c>
      <c r="AS37" s="46" t="str">
        <f t="shared" si="17"/>
        <v/>
      </c>
      <c r="AT37" s="31" t="str">
        <f t="shared" si="17"/>
        <v/>
      </c>
      <c r="AU37" s="31" t="str">
        <f t="shared" si="17"/>
        <v/>
      </c>
      <c r="AV37" s="46" t="str">
        <f t="shared" si="18"/>
        <v/>
      </c>
      <c r="AW37" s="31" t="str">
        <f t="shared" si="18"/>
        <v/>
      </c>
      <c r="AX37" s="32" t="str">
        <f t="shared" si="18"/>
        <v/>
      </c>
      <c r="AZ37" s="33"/>
      <c r="BB37" s="67" t="str">
        <f t="shared" si="21"/>
        <v/>
      </c>
      <c r="BC37" s="67" t="str">
        <f t="shared" si="21"/>
        <v/>
      </c>
      <c r="BD37" s="60" t="str">
        <f t="shared" si="19"/>
        <v/>
      </c>
    </row>
    <row r="38" spans="2:56" ht="20.25">
      <c r="B38" s="19" t="e">
        <f>#REF!</f>
        <v>#REF!</v>
      </c>
      <c r="C38" s="5" t="e">
        <f>#REF!</f>
        <v>#REF!</v>
      </c>
      <c r="D38" s="5" t="e">
        <f>#REF!</f>
        <v>#REF!</v>
      </c>
      <c r="E38" s="20" t="e">
        <f>#REF!&amp;#REF!&amp;COUNTIF(#REF!,#REF!)</f>
        <v>#REF!</v>
      </c>
      <c r="F38" s="20" t="e">
        <f>#REF!&amp;#REF!&amp;COUNTIF(#REF!,#REF!)</f>
        <v>#REF!</v>
      </c>
      <c r="G38" s="20" t="e">
        <f>#REF!&amp;#REF!&amp;COUNTIF(#REF!,#REF!)</f>
        <v>#REF!</v>
      </c>
      <c r="H38" s="20" t="e">
        <f>#REF!&amp;#REF!&amp;COUNTIF(#REF!,#REF!)</f>
        <v>#REF!</v>
      </c>
      <c r="I38" s="20" t="e">
        <f>#REF!&amp;#REF!&amp;COUNTIF(#REF!,#REF!)</f>
        <v>#REF!</v>
      </c>
      <c r="J38" s="20" t="e">
        <f>#REF!&amp;#REF!&amp;COUNTIF(#REF!,#REF!)</f>
        <v>#REF!</v>
      </c>
      <c r="K38" s="20" t="e">
        <f>#REF!&amp;#REF!&amp;COUNTIF(#REF!,#REF!)</f>
        <v>#REF!</v>
      </c>
      <c r="L38" s="20" t="e">
        <f>#REF!&amp;#REF!&amp;COUNTIF(#REF!,#REF!)</f>
        <v>#REF!</v>
      </c>
      <c r="M38" s="20" t="e">
        <f>#REF!&amp;#REF!&amp;COUNTIF(#REF!,#REF!)</f>
        <v>#REF!</v>
      </c>
      <c r="N38" s="20" t="e">
        <f>#REF!&amp;#REF!&amp;COUNTIF(#REF!,#REF!)</f>
        <v>#REF!</v>
      </c>
      <c r="O38" s="20" t="e">
        <f>#REF!&amp;#REF!&amp;COUNTIF(#REF!,#REF!)</f>
        <v>#REF!</v>
      </c>
      <c r="P38" s="20" t="e">
        <f>#REF!&amp;#REF!&amp;COUNTIF(#REF!,#REF!)</f>
        <v>#REF!</v>
      </c>
      <c r="Q38" s="20" t="e">
        <f>#REF!&amp;#REF!&amp;COUNTIF(#REF!,#REF!)</f>
        <v>#REF!</v>
      </c>
      <c r="R38" s="20" t="e">
        <f>#REF!&amp;#REF!&amp;COUNTIF(#REF!,#REF!)</f>
        <v>#REF!</v>
      </c>
      <c r="S38" s="20" t="e">
        <f>#REF!&amp;#REF!&amp;COUNTIF(#REF!,#REF!)</f>
        <v>#REF!</v>
      </c>
      <c r="T38" s="20" t="e">
        <f>#REF!&amp;#REF!&amp;COUNTIF(#REF!,#REF!)</f>
        <v>#REF!</v>
      </c>
      <c r="U38" s="20" t="e">
        <f>#REF!&amp;#REF!&amp;COUNTIF(#REF!,#REF!)</f>
        <v>#REF!</v>
      </c>
      <c r="V38" s="20" t="e">
        <f>#REF!&amp;#REF!&amp;COUNTIF(#REF!,#REF!)</f>
        <v>#REF!</v>
      </c>
      <c r="W38" s="20" t="e">
        <f>#REF!&amp;#REF!&amp;COUNTIF(#REF!,#REF!)</f>
        <v>#REF!</v>
      </c>
      <c r="X38" s="20" t="e">
        <f>#REF!&amp;#REF!&amp;COUNTIF(#REF!,#REF!)</f>
        <v>#REF!</v>
      </c>
      <c r="Y38" s="20" t="e">
        <f>#REF!&amp;#REF!&amp;COUNTIF(#REF!,#REF!)</f>
        <v>#REF!</v>
      </c>
      <c r="Z38" s="20" t="e">
        <f>#REF!&amp;#REF!&amp;COUNTIF(#REF!,#REF!)</f>
        <v>#REF!</v>
      </c>
      <c r="AA38" s="20" t="e">
        <f>#REF!&amp;#REF!&amp;COUNTIF(#REF!,#REF!)</f>
        <v>#REF!</v>
      </c>
      <c r="AB38" s="20" t="e">
        <f>#REF!&amp;#REF!&amp;COUNTIF(#REF!,#REF!)</f>
        <v>#REF!</v>
      </c>
      <c r="AC38" s="20" t="e">
        <f>#REF!&amp;#REF!&amp;COUNTIF(#REF!,#REF!)</f>
        <v>#REF!</v>
      </c>
      <c r="AD38" s="20" t="e">
        <f>#REF!&amp;#REF!&amp;COUNTIF(#REF!,#REF!)</f>
        <v>#REF!</v>
      </c>
      <c r="AE38" s="20" t="e">
        <f>#REF!&amp;#REF!&amp;COUNTIF(#REF!,#REF!)</f>
        <v>#REF!</v>
      </c>
      <c r="AF38" s="20" t="e">
        <f>#REF!&amp;#REF!&amp;COUNTIF(#REF!,#REF!)</f>
        <v>#REF!</v>
      </c>
      <c r="AG38" s="20" t="e">
        <f>#REF!&amp;#REF!&amp;COUNTIF(#REF!,#REF!)</f>
        <v>#REF!</v>
      </c>
      <c r="AH38" s="20" t="e">
        <f>#REF!&amp;#REF!&amp;COUNTIF(#REF!,#REF!)</f>
        <v>#REF!</v>
      </c>
      <c r="AI38" s="20" t="e">
        <f>#REF!&amp;#REF!&amp;COUNTIF(#REF!,#REF!)</f>
        <v>#REF!</v>
      </c>
      <c r="AJ38" s="3">
        <v>38</v>
      </c>
      <c r="AM38" s="30" t="e">
        <f t="shared" si="20"/>
        <v>#REF!</v>
      </c>
      <c r="AN38" s="27" t="e">
        <f t="shared" si="22"/>
        <v>#REF!</v>
      </c>
      <c r="AP38" s="46" t="str">
        <f t="shared" si="17"/>
        <v/>
      </c>
      <c r="AQ38" s="31" t="str">
        <f t="shared" si="17"/>
        <v/>
      </c>
      <c r="AR38" s="31" t="str">
        <f t="shared" si="17"/>
        <v/>
      </c>
      <c r="AS38" s="46" t="str">
        <f t="shared" si="17"/>
        <v/>
      </c>
      <c r="AT38" s="31" t="str">
        <f t="shared" si="17"/>
        <v/>
      </c>
      <c r="AU38" s="31" t="str">
        <f t="shared" si="17"/>
        <v/>
      </c>
      <c r="AV38" s="46" t="str">
        <f t="shared" si="18"/>
        <v/>
      </c>
      <c r="AW38" s="31" t="str">
        <f t="shared" si="18"/>
        <v/>
      </c>
      <c r="AX38" s="32" t="str">
        <f t="shared" si="18"/>
        <v/>
      </c>
      <c r="AZ38" s="23" t="s">
        <v>260</v>
      </c>
      <c r="BB38" s="67" t="str">
        <f t="shared" si="21"/>
        <v/>
      </c>
      <c r="BC38" s="67" t="str">
        <f t="shared" si="21"/>
        <v/>
      </c>
      <c r="BD38" s="60" t="str">
        <f t="shared" si="19"/>
        <v/>
      </c>
    </row>
    <row r="39" spans="2:56" ht="20.25">
      <c r="B39" s="19" t="e">
        <f>#REF!</f>
        <v>#REF!</v>
      </c>
      <c r="C39" s="5" t="e">
        <f>#REF!</f>
        <v>#REF!</v>
      </c>
      <c r="D39" s="5" t="e">
        <f>#REF!</f>
        <v>#REF!</v>
      </c>
      <c r="E39" s="20" t="e">
        <f>#REF!&amp;#REF!&amp;COUNTIF(#REF!,#REF!)</f>
        <v>#REF!</v>
      </c>
      <c r="F39" s="20" t="e">
        <f>#REF!&amp;#REF!&amp;COUNTIF(#REF!,#REF!)</f>
        <v>#REF!</v>
      </c>
      <c r="G39" s="20" t="e">
        <f>#REF!&amp;#REF!&amp;COUNTIF(#REF!,#REF!)</f>
        <v>#REF!</v>
      </c>
      <c r="H39" s="20" t="e">
        <f>#REF!&amp;#REF!&amp;COUNTIF(#REF!,#REF!)</f>
        <v>#REF!</v>
      </c>
      <c r="I39" s="20" t="e">
        <f>#REF!&amp;#REF!&amp;COUNTIF(#REF!,#REF!)</f>
        <v>#REF!</v>
      </c>
      <c r="J39" s="20" t="e">
        <f>#REF!&amp;#REF!&amp;COUNTIF(#REF!,#REF!)</f>
        <v>#REF!</v>
      </c>
      <c r="K39" s="20" t="e">
        <f>#REF!&amp;#REF!&amp;COUNTIF(#REF!,#REF!)</f>
        <v>#REF!</v>
      </c>
      <c r="L39" s="20" t="e">
        <f>#REF!&amp;#REF!&amp;COUNTIF(#REF!,#REF!)</f>
        <v>#REF!</v>
      </c>
      <c r="M39" s="20" t="e">
        <f>#REF!&amp;#REF!&amp;COUNTIF(#REF!,#REF!)</f>
        <v>#REF!</v>
      </c>
      <c r="N39" s="20" t="e">
        <f>#REF!&amp;#REF!&amp;COUNTIF(#REF!,#REF!)</f>
        <v>#REF!</v>
      </c>
      <c r="O39" s="20" t="e">
        <f>#REF!&amp;#REF!&amp;COUNTIF(#REF!,#REF!)</f>
        <v>#REF!</v>
      </c>
      <c r="P39" s="20" t="e">
        <f>#REF!&amp;#REF!&amp;COUNTIF(#REF!,#REF!)</f>
        <v>#REF!</v>
      </c>
      <c r="Q39" s="20" t="e">
        <f>#REF!&amp;#REF!&amp;COUNTIF(#REF!,#REF!)</f>
        <v>#REF!</v>
      </c>
      <c r="R39" s="20" t="e">
        <f>#REF!&amp;#REF!&amp;COUNTIF(#REF!,#REF!)</f>
        <v>#REF!</v>
      </c>
      <c r="S39" s="20" t="e">
        <f>#REF!&amp;#REF!&amp;COUNTIF(#REF!,#REF!)</f>
        <v>#REF!</v>
      </c>
      <c r="T39" s="20" t="e">
        <f>#REF!&amp;#REF!&amp;COUNTIF(#REF!,#REF!)</f>
        <v>#REF!</v>
      </c>
      <c r="U39" s="20" t="e">
        <f>#REF!&amp;#REF!&amp;COUNTIF(#REF!,#REF!)</f>
        <v>#REF!</v>
      </c>
      <c r="V39" s="20" t="e">
        <f>#REF!&amp;#REF!&amp;COUNTIF(#REF!,#REF!)</f>
        <v>#REF!</v>
      </c>
      <c r="W39" s="20" t="e">
        <f>#REF!&amp;#REF!&amp;COUNTIF(#REF!,#REF!)</f>
        <v>#REF!</v>
      </c>
      <c r="X39" s="20" t="e">
        <f>#REF!&amp;#REF!&amp;COUNTIF(#REF!,#REF!)</f>
        <v>#REF!</v>
      </c>
      <c r="Y39" s="20" t="e">
        <f>#REF!&amp;#REF!&amp;COUNTIF(#REF!,#REF!)</f>
        <v>#REF!</v>
      </c>
      <c r="Z39" s="20" t="e">
        <f>#REF!&amp;#REF!&amp;COUNTIF(#REF!,#REF!)</f>
        <v>#REF!</v>
      </c>
      <c r="AA39" s="20" t="e">
        <f>#REF!&amp;#REF!&amp;COUNTIF(#REF!,#REF!)</f>
        <v>#REF!</v>
      </c>
      <c r="AB39" s="20" t="e">
        <f>#REF!&amp;#REF!&amp;COUNTIF(#REF!,#REF!)</f>
        <v>#REF!</v>
      </c>
      <c r="AC39" s="20" t="e">
        <f>#REF!&amp;#REF!&amp;COUNTIF(#REF!,#REF!)</f>
        <v>#REF!</v>
      </c>
      <c r="AD39" s="20" t="e">
        <f>#REF!&amp;#REF!&amp;COUNTIF(#REF!,#REF!)</f>
        <v>#REF!</v>
      </c>
      <c r="AE39" s="20" t="e">
        <f>#REF!&amp;#REF!&amp;COUNTIF(#REF!,#REF!)</f>
        <v>#REF!</v>
      </c>
      <c r="AF39" s="20" t="e">
        <f>#REF!&amp;#REF!&amp;COUNTIF(#REF!,#REF!)</f>
        <v>#REF!</v>
      </c>
      <c r="AG39" s="20" t="e">
        <f>#REF!&amp;#REF!&amp;COUNTIF(#REF!,#REF!)</f>
        <v>#REF!</v>
      </c>
      <c r="AH39" s="20" t="e">
        <f>#REF!&amp;#REF!&amp;COUNTIF(#REF!,#REF!)</f>
        <v>#REF!</v>
      </c>
      <c r="AI39" s="20" t="e">
        <f>#REF!&amp;#REF!&amp;COUNTIF(#REF!,#REF!)</f>
        <v>#REF!</v>
      </c>
      <c r="AJ39" s="3">
        <v>39</v>
      </c>
      <c r="AM39" s="30" t="e">
        <f t="shared" si="20"/>
        <v>#REF!</v>
      </c>
      <c r="AN39" s="27" t="e">
        <f t="shared" si="22"/>
        <v>#REF!</v>
      </c>
      <c r="AP39" s="46" t="str">
        <f t="shared" ref="AP39:AU42" si="23">IFERROR(INDEX($E$3:$AI$3,MATCH($AN39&amp;AP$8&amp;ROW(A8),$E$6:$AI$6,0))&amp;"/"&amp;$AN$3,"")</f>
        <v/>
      </c>
      <c r="AQ39" s="31" t="str">
        <f t="shared" si="23"/>
        <v/>
      </c>
      <c r="AR39" s="31" t="str">
        <f t="shared" si="23"/>
        <v/>
      </c>
      <c r="AS39" s="46" t="str">
        <f t="shared" si="23"/>
        <v/>
      </c>
      <c r="AT39" s="31" t="str">
        <f t="shared" si="23"/>
        <v/>
      </c>
      <c r="AU39" s="31" t="str">
        <f t="shared" si="23"/>
        <v/>
      </c>
      <c r="AV39" s="46" t="str">
        <f t="shared" ref="AV39:AX42" si="24">IFERROR(INDEX($E$3:$AI$3,MATCH($AN39&amp;AV$8&amp;ROW(G8),$E$6:$AI$6,0))&amp;"/"&amp;$AN$3,"")</f>
        <v/>
      </c>
      <c r="AW39" s="31" t="str">
        <f t="shared" si="24"/>
        <v/>
      </c>
      <c r="AX39" s="32" t="str">
        <f t="shared" si="24"/>
        <v/>
      </c>
      <c r="AZ39" s="33"/>
      <c r="BB39" s="67" t="str">
        <f t="shared" si="21"/>
        <v/>
      </c>
      <c r="BC39" s="67" t="str">
        <f t="shared" si="21"/>
        <v/>
      </c>
      <c r="BD39" s="60" t="str">
        <f>IFERROR(INDEX($E$3:$AI$3,MATCH($AN39&amp;BD$8&amp;ROW(K8),$E$6:$AI$6,0))&amp;"/"&amp;$AN$3,"")</f>
        <v/>
      </c>
    </row>
    <row r="40" spans="2:56" ht="20.25">
      <c r="B40" s="19" t="e">
        <f>#REF!</f>
        <v>#REF!</v>
      </c>
      <c r="C40" s="5" t="e">
        <f>#REF!</f>
        <v>#REF!</v>
      </c>
      <c r="D40" s="5" t="e">
        <f>#REF!</f>
        <v>#REF!</v>
      </c>
      <c r="E40" s="20" t="e">
        <f>#REF!&amp;#REF!&amp;COUNTIF(#REF!,#REF!)</f>
        <v>#REF!</v>
      </c>
      <c r="F40" s="20" t="e">
        <f>#REF!&amp;#REF!&amp;COUNTIF(#REF!,#REF!)</f>
        <v>#REF!</v>
      </c>
      <c r="G40" s="20" t="e">
        <f>#REF!&amp;#REF!&amp;COUNTIF(#REF!,#REF!)</f>
        <v>#REF!</v>
      </c>
      <c r="H40" s="20" t="e">
        <f>#REF!&amp;#REF!&amp;COUNTIF(#REF!,#REF!)</f>
        <v>#REF!</v>
      </c>
      <c r="I40" s="20" t="e">
        <f>#REF!&amp;#REF!&amp;COUNTIF(#REF!,#REF!)</f>
        <v>#REF!</v>
      </c>
      <c r="J40" s="20" t="e">
        <f>#REF!&amp;#REF!&amp;COUNTIF(#REF!,#REF!)</f>
        <v>#REF!</v>
      </c>
      <c r="K40" s="20" t="e">
        <f>#REF!&amp;#REF!&amp;COUNTIF(#REF!,#REF!)</f>
        <v>#REF!</v>
      </c>
      <c r="L40" s="20" t="e">
        <f>#REF!&amp;#REF!&amp;COUNTIF(#REF!,#REF!)</f>
        <v>#REF!</v>
      </c>
      <c r="M40" s="20" t="e">
        <f>#REF!&amp;#REF!&amp;COUNTIF(#REF!,#REF!)</f>
        <v>#REF!</v>
      </c>
      <c r="N40" s="20" t="e">
        <f>#REF!&amp;#REF!&amp;COUNTIF(#REF!,#REF!)</f>
        <v>#REF!</v>
      </c>
      <c r="O40" s="20" t="e">
        <f>#REF!&amp;#REF!&amp;COUNTIF(#REF!,#REF!)</f>
        <v>#REF!</v>
      </c>
      <c r="P40" s="20" t="e">
        <f>#REF!&amp;#REF!&amp;COUNTIF(#REF!,#REF!)</f>
        <v>#REF!</v>
      </c>
      <c r="Q40" s="20" t="e">
        <f>#REF!&amp;#REF!&amp;COUNTIF(#REF!,#REF!)</f>
        <v>#REF!</v>
      </c>
      <c r="R40" s="20" t="e">
        <f>#REF!&amp;#REF!&amp;COUNTIF(#REF!,#REF!)</f>
        <v>#REF!</v>
      </c>
      <c r="S40" s="20" t="e">
        <f>#REF!&amp;#REF!&amp;COUNTIF(#REF!,#REF!)</f>
        <v>#REF!</v>
      </c>
      <c r="T40" s="20" t="e">
        <f>#REF!&amp;#REF!&amp;COUNTIF(#REF!,#REF!)</f>
        <v>#REF!</v>
      </c>
      <c r="U40" s="20" t="e">
        <f>#REF!&amp;#REF!&amp;COUNTIF(#REF!,#REF!)</f>
        <v>#REF!</v>
      </c>
      <c r="V40" s="20" t="e">
        <f>#REF!&amp;#REF!&amp;COUNTIF(#REF!,#REF!)</f>
        <v>#REF!</v>
      </c>
      <c r="W40" s="20" t="e">
        <f>#REF!&amp;#REF!&amp;COUNTIF(#REF!,#REF!)</f>
        <v>#REF!</v>
      </c>
      <c r="X40" s="20" t="e">
        <f>#REF!&amp;#REF!&amp;COUNTIF(#REF!,#REF!)</f>
        <v>#REF!</v>
      </c>
      <c r="Y40" s="20" t="e">
        <f>#REF!&amp;#REF!&amp;COUNTIF(#REF!,#REF!)</f>
        <v>#REF!</v>
      </c>
      <c r="Z40" s="20" t="e">
        <f>#REF!&amp;#REF!&amp;COUNTIF(#REF!,#REF!)</f>
        <v>#REF!</v>
      </c>
      <c r="AA40" s="20" t="e">
        <f>#REF!&amp;#REF!&amp;COUNTIF(#REF!,#REF!)</f>
        <v>#REF!</v>
      </c>
      <c r="AB40" s="20" t="e">
        <f>#REF!&amp;#REF!&amp;COUNTIF(#REF!,#REF!)</f>
        <v>#REF!</v>
      </c>
      <c r="AC40" s="20" t="e">
        <f>#REF!&amp;#REF!&amp;COUNTIF(#REF!,#REF!)</f>
        <v>#REF!</v>
      </c>
      <c r="AD40" s="20" t="e">
        <f>#REF!&amp;#REF!&amp;COUNTIF(#REF!,#REF!)</f>
        <v>#REF!</v>
      </c>
      <c r="AE40" s="20" t="e">
        <f>#REF!&amp;#REF!&amp;COUNTIF(#REF!,#REF!)</f>
        <v>#REF!</v>
      </c>
      <c r="AF40" s="20" t="e">
        <f>#REF!&amp;#REF!&amp;COUNTIF(#REF!,#REF!)</f>
        <v>#REF!</v>
      </c>
      <c r="AG40" s="20" t="e">
        <f>#REF!&amp;#REF!&amp;COUNTIF(#REF!,#REF!)</f>
        <v>#REF!</v>
      </c>
      <c r="AH40" s="20" t="e">
        <f>#REF!&amp;#REF!&amp;COUNTIF(#REF!,#REF!)</f>
        <v>#REF!</v>
      </c>
      <c r="AI40" s="20" t="e">
        <f>#REF!&amp;#REF!&amp;COUNTIF(#REF!,#REF!)</f>
        <v>#REF!</v>
      </c>
      <c r="AJ40" s="3">
        <v>40</v>
      </c>
      <c r="AM40" s="30" t="e">
        <f t="shared" si="20"/>
        <v>#REF!</v>
      </c>
      <c r="AN40" s="27" t="e">
        <f t="shared" si="22"/>
        <v>#REF!</v>
      </c>
      <c r="AP40" s="46" t="str">
        <f t="shared" si="23"/>
        <v/>
      </c>
      <c r="AQ40" s="31" t="str">
        <f t="shared" si="23"/>
        <v/>
      </c>
      <c r="AR40" s="31" t="str">
        <f t="shared" si="23"/>
        <v/>
      </c>
      <c r="AS40" s="46" t="str">
        <f t="shared" si="23"/>
        <v/>
      </c>
      <c r="AT40" s="31" t="str">
        <f t="shared" si="23"/>
        <v/>
      </c>
      <c r="AU40" s="31" t="str">
        <f t="shared" si="23"/>
        <v/>
      </c>
      <c r="AV40" s="46" t="str">
        <f t="shared" si="24"/>
        <v/>
      </c>
      <c r="AW40" s="31" t="str">
        <f t="shared" si="24"/>
        <v/>
      </c>
      <c r="AX40" s="32" t="str">
        <f t="shared" si="24"/>
        <v/>
      </c>
      <c r="BB40" s="67" t="str">
        <f t="shared" si="21"/>
        <v/>
      </c>
      <c r="BC40" s="67" t="str">
        <f t="shared" si="21"/>
        <v/>
      </c>
      <c r="BD40" s="60" t="str">
        <f>IFERROR(INDEX($E$3:$AI$3,MATCH($AN40&amp;BD$8&amp;ROW(K9),$E$6:$AI$6,0))&amp;"/"&amp;$AN$3,"")</f>
        <v/>
      </c>
    </row>
    <row r="41" spans="2:56" ht="20.25">
      <c r="B41" s="19" t="e">
        <f>#REF!</f>
        <v>#REF!</v>
      </c>
      <c r="C41" s="5" t="e">
        <f>#REF!</f>
        <v>#REF!</v>
      </c>
      <c r="D41" s="5" t="e">
        <f>#REF!</f>
        <v>#REF!</v>
      </c>
      <c r="E41" s="20" t="e">
        <f>#REF!&amp;#REF!&amp;COUNTIF(#REF!,#REF!)</f>
        <v>#REF!</v>
      </c>
      <c r="F41" s="20" t="e">
        <f>#REF!&amp;#REF!&amp;COUNTIF(#REF!,#REF!)</f>
        <v>#REF!</v>
      </c>
      <c r="G41" s="20" t="e">
        <f>#REF!&amp;#REF!&amp;COUNTIF(#REF!,#REF!)</f>
        <v>#REF!</v>
      </c>
      <c r="H41" s="20" t="e">
        <f>#REF!&amp;#REF!&amp;COUNTIF(#REF!,#REF!)</f>
        <v>#REF!</v>
      </c>
      <c r="I41" s="20" t="e">
        <f>#REF!&amp;#REF!&amp;COUNTIF(#REF!,#REF!)</f>
        <v>#REF!</v>
      </c>
      <c r="J41" s="20" t="e">
        <f>#REF!&amp;#REF!&amp;COUNTIF(#REF!,#REF!)</f>
        <v>#REF!</v>
      </c>
      <c r="K41" s="20" t="e">
        <f>#REF!&amp;#REF!&amp;COUNTIF(#REF!,#REF!)</f>
        <v>#REF!</v>
      </c>
      <c r="L41" s="20" t="e">
        <f>#REF!&amp;#REF!&amp;COUNTIF(#REF!,#REF!)</f>
        <v>#REF!</v>
      </c>
      <c r="M41" s="20" t="e">
        <f>#REF!&amp;#REF!&amp;COUNTIF(#REF!,#REF!)</f>
        <v>#REF!</v>
      </c>
      <c r="N41" s="20" t="e">
        <f>#REF!&amp;#REF!&amp;COUNTIF(#REF!,#REF!)</f>
        <v>#REF!</v>
      </c>
      <c r="O41" s="20" t="e">
        <f>#REF!&amp;#REF!&amp;COUNTIF(#REF!,#REF!)</f>
        <v>#REF!</v>
      </c>
      <c r="P41" s="20" t="e">
        <f>#REF!&amp;#REF!&amp;COUNTIF(#REF!,#REF!)</f>
        <v>#REF!</v>
      </c>
      <c r="Q41" s="20" t="e">
        <f>#REF!&amp;#REF!&amp;COUNTIF(#REF!,#REF!)</f>
        <v>#REF!</v>
      </c>
      <c r="R41" s="20" t="e">
        <f>#REF!&amp;#REF!&amp;COUNTIF(#REF!,#REF!)</f>
        <v>#REF!</v>
      </c>
      <c r="S41" s="20" t="e">
        <f>#REF!&amp;#REF!&amp;COUNTIF(#REF!,#REF!)</f>
        <v>#REF!</v>
      </c>
      <c r="T41" s="20" t="e">
        <f>#REF!&amp;#REF!&amp;COUNTIF(#REF!,#REF!)</f>
        <v>#REF!</v>
      </c>
      <c r="U41" s="20" t="e">
        <f>#REF!&amp;#REF!&amp;COUNTIF(#REF!,#REF!)</f>
        <v>#REF!</v>
      </c>
      <c r="V41" s="20" t="e">
        <f>#REF!&amp;#REF!&amp;COUNTIF(#REF!,#REF!)</f>
        <v>#REF!</v>
      </c>
      <c r="W41" s="20" t="e">
        <f>#REF!&amp;#REF!&amp;COUNTIF(#REF!,#REF!)</f>
        <v>#REF!</v>
      </c>
      <c r="X41" s="20" t="e">
        <f>#REF!&amp;#REF!&amp;COUNTIF(#REF!,#REF!)</f>
        <v>#REF!</v>
      </c>
      <c r="Y41" s="20" t="e">
        <f>#REF!&amp;#REF!&amp;COUNTIF(#REF!,#REF!)</f>
        <v>#REF!</v>
      </c>
      <c r="Z41" s="20" t="e">
        <f>#REF!&amp;#REF!&amp;COUNTIF(#REF!,#REF!)</f>
        <v>#REF!</v>
      </c>
      <c r="AA41" s="20" t="e">
        <f>#REF!&amp;#REF!&amp;COUNTIF(#REF!,#REF!)</f>
        <v>#REF!</v>
      </c>
      <c r="AB41" s="20" t="e">
        <f>#REF!&amp;#REF!&amp;COUNTIF(#REF!,#REF!)</f>
        <v>#REF!</v>
      </c>
      <c r="AC41" s="20" t="e">
        <f>#REF!&amp;#REF!&amp;COUNTIF(#REF!,#REF!)</f>
        <v>#REF!</v>
      </c>
      <c r="AD41" s="20" t="e">
        <f>#REF!&amp;#REF!&amp;COUNTIF(#REF!,#REF!)</f>
        <v>#REF!</v>
      </c>
      <c r="AE41" s="20" t="e">
        <f>#REF!&amp;#REF!&amp;COUNTIF(#REF!,#REF!)</f>
        <v>#REF!</v>
      </c>
      <c r="AF41" s="20" t="e">
        <f>#REF!&amp;#REF!&amp;COUNTIF(#REF!,#REF!)</f>
        <v>#REF!</v>
      </c>
      <c r="AG41" s="20" t="e">
        <f>#REF!&amp;#REF!&amp;COUNTIF(#REF!,#REF!)</f>
        <v>#REF!</v>
      </c>
      <c r="AH41" s="20" t="e">
        <f>#REF!&amp;#REF!&amp;COUNTIF(#REF!,#REF!)</f>
        <v>#REF!</v>
      </c>
      <c r="AI41" s="20" t="e">
        <f>#REF!&amp;#REF!&amp;COUNTIF(#REF!,#REF!)</f>
        <v>#REF!</v>
      </c>
      <c r="AJ41" s="3">
        <v>41</v>
      </c>
      <c r="AM41" s="30" t="e">
        <f t="shared" si="20"/>
        <v>#REF!</v>
      </c>
      <c r="AN41" s="27" t="e">
        <f t="shared" si="22"/>
        <v>#REF!</v>
      </c>
      <c r="AP41" s="46" t="str">
        <f t="shared" si="23"/>
        <v/>
      </c>
      <c r="AQ41" s="31" t="str">
        <f t="shared" si="23"/>
        <v/>
      </c>
      <c r="AR41" s="31" t="str">
        <f t="shared" si="23"/>
        <v/>
      </c>
      <c r="AS41" s="46" t="str">
        <f t="shared" si="23"/>
        <v/>
      </c>
      <c r="AT41" s="31" t="str">
        <f t="shared" si="23"/>
        <v/>
      </c>
      <c r="AU41" s="31" t="str">
        <f t="shared" si="23"/>
        <v/>
      </c>
      <c r="AV41" s="46" t="str">
        <f t="shared" si="24"/>
        <v/>
      </c>
      <c r="AW41" s="31" t="str">
        <f t="shared" si="24"/>
        <v/>
      </c>
      <c r="AX41" s="32" t="str">
        <f t="shared" si="24"/>
        <v/>
      </c>
      <c r="BB41" s="67" t="str">
        <f t="shared" si="21"/>
        <v/>
      </c>
      <c r="BC41" s="67" t="str">
        <f t="shared" si="21"/>
        <v/>
      </c>
      <c r="BD41" s="60" t="str">
        <f>IFERROR(INDEX($E$3:$AI$3,MATCH($AN41&amp;BD$8&amp;ROW(K10),$E$6:$AI$6,0))&amp;"/"&amp;$AN$3,"")</f>
        <v/>
      </c>
    </row>
    <row r="42" spans="2:56" ht="21" thickBot="1">
      <c r="B42" s="19" t="e">
        <f>#REF!</f>
        <v>#REF!</v>
      </c>
      <c r="C42" s="5" t="e">
        <f>#REF!</f>
        <v>#REF!</v>
      </c>
      <c r="D42" s="5" t="e">
        <f>#REF!</f>
        <v>#REF!</v>
      </c>
      <c r="E42" s="20" t="e">
        <f>#REF!&amp;#REF!&amp;COUNTIF(#REF!,#REF!)</f>
        <v>#REF!</v>
      </c>
      <c r="F42" s="20" t="e">
        <f>#REF!&amp;#REF!&amp;COUNTIF(#REF!,#REF!)</f>
        <v>#REF!</v>
      </c>
      <c r="G42" s="20" t="e">
        <f>#REF!&amp;#REF!&amp;COUNTIF(#REF!,#REF!)</f>
        <v>#REF!</v>
      </c>
      <c r="H42" s="20" t="e">
        <f>#REF!&amp;#REF!&amp;COUNTIF(#REF!,#REF!)</f>
        <v>#REF!</v>
      </c>
      <c r="I42" s="20" t="e">
        <f>#REF!&amp;#REF!&amp;COUNTIF(#REF!,#REF!)</f>
        <v>#REF!</v>
      </c>
      <c r="J42" s="20" t="e">
        <f>#REF!&amp;#REF!&amp;COUNTIF(#REF!,#REF!)</f>
        <v>#REF!</v>
      </c>
      <c r="K42" s="20" t="e">
        <f>#REF!&amp;#REF!&amp;COUNTIF(#REF!,#REF!)</f>
        <v>#REF!</v>
      </c>
      <c r="L42" s="20" t="e">
        <f>#REF!&amp;#REF!&amp;COUNTIF(#REF!,#REF!)</f>
        <v>#REF!</v>
      </c>
      <c r="M42" s="20" t="e">
        <f>#REF!&amp;#REF!&amp;COUNTIF(#REF!,#REF!)</f>
        <v>#REF!</v>
      </c>
      <c r="N42" s="20" t="e">
        <f>#REF!&amp;#REF!&amp;COUNTIF(#REF!,#REF!)</f>
        <v>#REF!</v>
      </c>
      <c r="O42" s="20" t="e">
        <f>#REF!&amp;#REF!&amp;COUNTIF(#REF!,#REF!)</f>
        <v>#REF!</v>
      </c>
      <c r="P42" s="20" t="e">
        <f>#REF!&amp;#REF!&amp;COUNTIF(#REF!,#REF!)</f>
        <v>#REF!</v>
      </c>
      <c r="Q42" s="20" t="e">
        <f>#REF!&amp;#REF!&amp;COUNTIF(#REF!,#REF!)</f>
        <v>#REF!</v>
      </c>
      <c r="R42" s="20" t="e">
        <f>#REF!&amp;#REF!&amp;COUNTIF(#REF!,#REF!)</f>
        <v>#REF!</v>
      </c>
      <c r="S42" s="20" t="e">
        <f>#REF!&amp;#REF!&amp;COUNTIF(#REF!,#REF!)</f>
        <v>#REF!</v>
      </c>
      <c r="T42" s="20" t="e">
        <f>#REF!&amp;#REF!&amp;COUNTIF(#REF!,#REF!)</f>
        <v>#REF!</v>
      </c>
      <c r="U42" s="20" t="e">
        <f>#REF!&amp;#REF!&amp;COUNTIF(#REF!,#REF!)</f>
        <v>#REF!</v>
      </c>
      <c r="V42" s="20" t="e">
        <f>#REF!&amp;#REF!&amp;COUNTIF(#REF!,#REF!)</f>
        <v>#REF!</v>
      </c>
      <c r="W42" s="20" t="e">
        <f>#REF!&amp;#REF!&amp;COUNTIF(#REF!,#REF!)</f>
        <v>#REF!</v>
      </c>
      <c r="X42" s="20" t="e">
        <f>#REF!&amp;#REF!&amp;COUNTIF(#REF!,#REF!)</f>
        <v>#REF!</v>
      </c>
      <c r="Y42" s="20" t="e">
        <f>#REF!&amp;#REF!&amp;COUNTIF(#REF!,#REF!)</f>
        <v>#REF!</v>
      </c>
      <c r="Z42" s="20" t="e">
        <f>#REF!&amp;#REF!&amp;COUNTIF(#REF!,#REF!)</f>
        <v>#REF!</v>
      </c>
      <c r="AA42" s="20" t="e">
        <f>#REF!&amp;#REF!&amp;COUNTIF(#REF!,#REF!)</f>
        <v>#REF!</v>
      </c>
      <c r="AB42" s="20" t="e">
        <f>#REF!&amp;#REF!&amp;COUNTIF(#REF!,#REF!)</f>
        <v>#REF!</v>
      </c>
      <c r="AC42" s="20" t="e">
        <f>#REF!&amp;#REF!&amp;COUNTIF(#REF!,#REF!)</f>
        <v>#REF!</v>
      </c>
      <c r="AD42" s="20" t="e">
        <f>#REF!&amp;#REF!&amp;COUNTIF(#REF!,#REF!)</f>
        <v>#REF!</v>
      </c>
      <c r="AE42" s="20" t="e">
        <f>#REF!&amp;#REF!&amp;COUNTIF(#REF!,#REF!)</f>
        <v>#REF!</v>
      </c>
      <c r="AF42" s="20" t="e">
        <f>#REF!&amp;#REF!&amp;COUNTIF(#REF!,#REF!)</f>
        <v>#REF!</v>
      </c>
      <c r="AG42" s="20" t="e">
        <f>#REF!&amp;#REF!&amp;COUNTIF(#REF!,#REF!)</f>
        <v>#REF!</v>
      </c>
      <c r="AH42" s="20" t="e">
        <f>#REF!&amp;#REF!&amp;COUNTIF(#REF!,#REF!)</f>
        <v>#REF!</v>
      </c>
      <c r="AI42" s="20" t="e">
        <f>#REF!&amp;#REF!&amp;COUNTIF(#REF!,#REF!)</f>
        <v>#REF!</v>
      </c>
      <c r="AJ42" s="3">
        <v>42</v>
      </c>
      <c r="AM42" s="51" t="e">
        <f t="shared" si="20"/>
        <v>#REF!</v>
      </c>
      <c r="AN42" s="28" t="e">
        <f t="shared" si="22"/>
        <v>#REF!</v>
      </c>
      <c r="AO42" s="26"/>
      <c r="AP42" s="52" t="str">
        <f t="shared" si="23"/>
        <v/>
      </c>
      <c r="AQ42" s="53" t="str">
        <f t="shared" si="23"/>
        <v/>
      </c>
      <c r="AR42" s="53" t="str">
        <f t="shared" si="23"/>
        <v/>
      </c>
      <c r="AS42" s="52" t="str">
        <f t="shared" si="23"/>
        <v/>
      </c>
      <c r="AT42" s="53" t="str">
        <f t="shared" si="23"/>
        <v/>
      </c>
      <c r="AU42" s="53" t="str">
        <f t="shared" si="23"/>
        <v/>
      </c>
      <c r="AV42" s="52" t="str">
        <f t="shared" si="24"/>
        <v/>
      </c>
      <c r="AW42" s="53" t="str">
        <f t="shared" si="24"/>
        <v/>
      </c>
      <c r="AX42" s="54" t="str">
        <f t="shared" si="24"/>
        <v/>
      </c>
      <c r="AZ42" s="26" t="str">
        <f>AP42</f>
        <v/>
      </c>
      <c r="BA42" s="29"/>
      <c r="BB42" s="67" t="str">
        <f t="shared" si="21"/>
        <v/>
      </c>
      <c r="BC42" s="67" t="str">
        <f t="shared" si="21"/>
        <v/>
      </c>
      <c r="BD42" s="61" t="str">
        <f>IFERROR(INDEX($E$3:$AI$3,MATCH($AN42&amp;BD$8&amp;ROW(K11),$E$6:$AI$6,0))&amp;"/"&amp;$AN$3,"")</f>
        <v/>
      </c>
    </row>
    <row r="43" spans="2:56" ht="21" thickBot="1">
      <c r="B43" s="19" t="e">
        <f>#REF!</f>
        <v>#REF!</v>
      </c>
      <c r="C43" s="5" t="e">
        <f>#REF!</f>
        <v>#REF!</v>
      </c>
      <c r="D43" s="5" t="e">
        <f>#REF!</f>
        <v>#REF!</v>
      </c>
      <c r="E43" s="20" t="e">
        <f>#REF!&amp;#REF!&amp;COUNTIF(#REF!,#REF!)</f>
        <v>#REF!</v>
      </c>
      <c r="F43" s="20" t="e">
        <f>#REF!&amp;#REF!&amp;COUNTIF(#REF!,#REF!)</f>
        <v>#REF!</v>
      </c>
      <c r="G43" s="20" t="e">
        <f>#REF!&amp;#REF!&amp;COUNTIF(#REF!,#REF!)</f>
        <v>#REF!</v>
      </c>
      <c r="H43" s="20" t="e">
        <f>#REF!&amp;#REF!&amp;COUNTIF(#REF!,#REF!)</f>
        <v>#REF!</v>
      </c>
      <c r="I43" s="20" t="e">
        <f>#REF!&amp;#REF!&amp;COUNTIF(#REF!,#REF!)</f>
        <v>#REF!</v>
      </c>
      <c r="J43" s="20" t="e">
        <f>#REF!&amp;#REF!&amp;COUNTIF(#REF!,#REF!)</f>
        <v>#REF!</v>
      </c>
      <c r="K43" s="20" t="e">
        <f>#REF!&amp;#REF!&amp;COUNTIF(#REF!,#REF!)</f>
        <v>#REF!</v>
      </c>
      <c r="L43" s="20" t="e">
        <f>#REF!&amp;#REF!&amp;COUNTIF(#REF!,#REF!)</f>
        <v>#REF!</v>
      </c>
      <c r="M43" s="20" t="e">
        <f>#REF!&amp;#REF!&amp;COUNTIF(#REF!,#REF!)</f>
        <v>#REF!</v>
      </c>
      <c r="N43" s="20" t="e">
        <f>#REF!&amp;#REF!&amp;COUNTIF(#REF!,#REF!)</f>
        <v>#REF!</v>
      </c>
      <c r="O43" s="20" t="e">
        <f>#REF!&amp;#REF!&amp;COUNTIF(#REF!,#REF!)</f>
        <v>#REF!</v>
      </c>
      <c r="P43" s="20" t="e">
        <f>#REF!&amp;#REF!&amp;COUNTIF(#REF!,#REF!)</f>
        <v>#REF!</v>
      </c>
      <c r="Q43" s="20" t="e">
        <f>#REF!&amp;#REF!&amp;COUNTIF(#REF!,#REF!)</f>
        <v>#REF!</v>
      </c>
      <c r="R43" s="20" t="e">
        <f>#REF!&amp;#REF!&amp;COUNTIF(#REF!,#REF!)</f>
        <v>#REF!</v>
      </c>
      <c r="S43" s="20" t="e">
        <f>#REF!&amp;#REF!&amp;COUNTIF(#REF!,#REF!)</f>
        <v>#REF!</v>
      </c>
      <c r="T43" s="20" t="e">
        <f>#REF!&amp;#REF!&amp;COUNTIF(#REF!,#REF!)</f>
        <v>#REF!</v>
      </c>
      <c r="U43" s="20" t="e">
        <f>#REF!&amp;#REF!&amp;COUNTIF(#REF!,#REF!)</f>
        <v>#REF!</v>
      </c>
      <c r="V43" s="20" t="e">
        <f>#REF!&amp;#REF!&amp;COUNTIF(#REF!,#REF!)</f>
        <v>#REF!</v>
      </c>
      <c r="W43" s="20" t="e">
        <f>#REF!&amp;#REF!&amp;COUNTIF(#REF!,#REF!)</f>
        <v>#REF!</v>
      </c>
      <c r="X43" s="20" t="e">
        <f>#REF!&amp;#REF!&amp;COUNTIF(#REF!,#REF!)</f>
        <v>#REF!</v>
      </c>
      <c r="Y43" s="20" t="e">
        <f>#REF!&amp;#REF!&amp;COUNTIF(#REF!,#REF!)</f>
        <v>#REF!</v>
      </c>
      <c r="Z43" s="20" t="e">
        <f>#REF!&amp;#REF!&amp;COUNTIF(#REF!,#REF!)</f>
        <v>#REF!</v>
      </c>
      <c r="AA43" s="20" t="e">
        <f>#REF!&amp;#REF!&amp;COUNTIF(#REF!,#REF!)</f>
        <v>#REF!</v>
      </c>
      <c r="AB43" s="20" t="e">
        <f>#REF!&amp;#REF!&amp;COUNTIF(#REF!,#REF!)</f>
        <v>#REF!</v>
      </c>
      <c r="AC43" s="20" t="e">
        <f>#REF!&amp;#REF!&amp;COUNTIF(#REF!,#REF!)</f>
        <v>#REF!</v>
      </c>
      <c r="AD43" s="20" t="e">
        <f>#REF!&amp;#REF!&amp;COUNTIF(#REF!,#REF!)</f>
        <v>#REF!</v>
      </c>
      <c r="AE43" s="20" t="e">
        <f>#REF!&amp;#REF!&amp;COUNTIF(#REF!,#REF!)</f>
        <v>#REF!</v>
      </c>
      <c r="AF43" s="20" t="e">
        <f>#REF!&amp;#REF!&amp;COUNTIF(#REF!,#REF!)</f>
        <v>#REF!</v>
      </c>
      <c r="AG43" s="20" t="e">
        <f>#REF!&amp;#REF!&amp;COUNTIF(#REF!,#REF!)</f>
        <v>#REF!</v>
      </c>
      <c r="AH43" s="20" t="e">
        <f>#REF!&amp;#REF!&amp;COUNTIF(#REF!,#REF!)</f>
        <v>#REF!</v>
      </c>
      <c r="AI43" s="20" t="e">
        <f>#REF!&amp;#REF!&amp;COUNTIF(#REF!,#REF!)</f>
        <v>#REF!</v>
      </c>
      <c r="AJ43" s="3">
        <v>43</v>
      </c>
      <c r="BA43" s="22"/>
      <c r="BB43" s="67" t="str">
        <f t="shared" si="21"/>
        <v/>
      </c>
      <c r="BC43" s="67" t="str">
        <f t="shared" si="21"/>
        <v/>
      </c>
    </row>
    <row r="44" spans="2:56" ht="20.25">
      <c r="B44" s="19" t="e">
        <f>#REF!</f>
        <v>#REF!</v>
      </c>
      <c r="C44" s="5" t="e">
        <f>#REF!</f>
        <v>#REF!</v>
      </c>
      <c r="D44" s="5" t="e">
        <f>#REF!</f>
        <v>#REF!</v>
      </c>
      <c r="E44" s="20" t="e">
        <f>#REF!&amp;#REF!&amp;COUNTIF(#REF!,#REF!)</f>
        <v>#REF!</v>
      </c>
      <c r="F44" s="20" t="e">
        <f>#REF!&amp;#REF!&amp;COUNTIF(#REF!,#REF!)</f>
        <v>#REF!</v>
      </c>
      <c r="G44" s="20" t="e">
        <f>#REF!&amp;#REF!&amp;COUNTIF(#REF!,#REF!)</f>
        <v>#REF!</v>
      </c>
      <c r="H44" s="20" t="e">
        <f>#REF!&amp;#REF!&amp;COUNTIF(#REF!,#REF!)</f>
        <v>#REF!</v>
      </c>
      <c r="I44" s="20" t="e">
        <f>#REF!&amp;#REF!&amp;COUNTIF(#REF!,#REF!)</f>
        <v>#REF!</v>
      </c>
      <c r="J44" s="20" t="e">
        <f>#REF!&amp;#REF!&amp;COUNTIF(#REF!,#REF!)</f>
        <v>#REF!</v>
      </c>
      <c r="K44" s="20" t="e">
        <f>#REF!&amp;#REF!&amp;COUNTIF(#REF!,#REF!)</f>
        <v>#REF!</v>
      </c>
      <c r="L44" s="20" t="e">
        <f>#REF!&amp;#REF!&amp;COUNTIF(#REF!,#REF!)</f>
        <v>#REF!</v>
      </c>
      <c r="M44" s="20" t="e">
        <f>#REF!&amp;#REF!&amp;COUNTIF(#REF!,#REF!)</f>
        <v>#REF!</v>
      </c>
      <c r="N44" s="20" t="e">
        <f>#REF!&amp;#REF!&amp;COUNTIF(#REF!,#REF!)</f>
        <v>#REF!</v>
      </c>
      <c r="O44" s="20" t="e">
        <f>#REF!&amp;#REF!&amp;COUNTIF(#REF!,#REF!)</f>
        <v>#REF!</v>
      </c>
      <c r="P44" s="20" t="e">
        <f>#REF!&amp;#REF!&amp;COUNTIF(#REF!,#REF!)</f>
        <v>#REF!</v>
      </c>
      <c r="Q44" s="20" t="e">
        <f>#REF!&amp;#REF!&amp;COUNTIF(#REF!,#REF!)</f>
        <v>#REF!</v>
      </c>
      <c r="R44" s="20" t="e">
        <f>#REF!&amp;#REF!&amp;COUNTIF(#REF!,#REF!)</f>
        <v>#REF!</v>
      </c>
      <c r="S44" s="20" t="e">
        <f>#REF!&amp;#REF!&amp;COUNTIF(#REF!,#REF!)</f>
        <v>#REF!</v>
      </c>
      <c r="T44" s="20" t="e">
        <f>#REF!&amp;#REF!&amp;COUNTIF(#REF!,#REF!)</f>
        <v>#REF!</v>
      </c>
      <c r="U44" s="20" t="e">
        <f>#REF!&amp;#REF!&amp;COUNTIF(#REF!,#REF!)</f>
        <v>#REF!</v>
      </c>
      <c r="V44" s="20" t="e">
        <f>#REF!&amp;#REF!&amp;COUNTIF(#REF!,#REF!)</f>
        <v>#REF!</v>
      </c>
      <c r="W44" s="20" t="e">
        <f>#REF!&amp;#REF!&amp;COUNTIF(#REF!,#REF!)</f>
        <v>#REF!</v>
      </c>
      <c r="X44" s="20" t="e">
        <f>#REF!&amp;#REF!&amp;COUNTIF(#REF!,#REF!)</f>
        <v>#REF!</v>
      </c>
      <c r="Y44" s="20" t="e">
        <f>#REF!&amp;#REF!&amp;COUNTIF(#REF!,#REF!)</f>
        <v>#REF!</v>
      </c>
      <c r="Z44" s="20" t="e">
        <f>#REF!&amp;#REF!&amp;COUNTIF(#REF!,#REF!)</f>
        <v>#REF!</v>
      </c>
      <c r="AA44" s="20" t="e">
        <f>#REF!&amp;#REF!&amp;COUNTIF(#REF!,#REF!)</f>
        <v>#REF!</v>
      </c>
      <c r="AB44" s="20" t="e">
        <f>#REF!&amp;#REF!&amp;COUNTIF(#REF!,#REF!)</f>
        <v>#REF!</v>
      </c>
      <c r="AC44" s="20" t="e">
        <f>#REF!&amp;#REF!&amp;COUNTIF(#REF!,#REF!)</f>
        <v>#REF!</v>
      </c>
      <c r="AD44" s="20" t="e">
        <f>#REF!&amp;#REF!&amp;COUNTIF(#REF!,#REF!)</f>
        <v>#REF!</v>
      </c>
      <c r="AE44" s="20" t="e">
        <f>#REF!&amp;#REF!&amp;COUNTIF(#REF!,#REF!)</f>
        <v>#REF!</v>
      </c>
      <c r="AF44" s="20" t="e">
        <f>#REF!&amp;#REF!&amp;COUNTIF(#REF!,#REF!)</f>
        <v>#REF!</v>
      </c>
      <c r="AG44" s="20" t="e">
        <f>#REF!&amp;#REF!&amp;COUNTIF(#REF!,#REF!)</f>
        <v>#REF!</v>
      </c>
      <c r="AH44" s="20" t="e">
        <f>#REF!&amp;#REF!&amp;COUNTIF(#REF!,#REF!)</f>
        <v>#REF!</v>
      </c>
      <c r="AI44" s="20" t="e">
        <f>#REF!&amp;#REF!&amp;COUNTIF(#REF!,#REF!)</f>
        <v>#REF!</v>
      </c>
      <c r="AJ44" s="3">
        <v>44</v>
      </c>
      <c r="AM44" s="39"/>
      <c r="AN44" s="40"/>
      <c r="AO44" s="36"/>
      <c r="AP44" s="45" t="s">
        <v>247</v>
      </c>
      <c r="AQ44" s="37" t="s">
        <v>248</v>
      </c>
      <c r="AR44" s="37" t="s">
        <v>249</v>
      </c>
      <c r="AS44" s="45" t="s">
        <v>250</v>
      </c>
      <c r="AT44" s="37" t="s">
        <v>251</v>
      </c>
      <c r="AU44" s="37" t="s">
        <v>252</v>
      </c>
      <c r="AV44" s="45" t="s">
        <v>253</v>
      </c>
      <c r="AW44" s="37" t="s">
        <v>254</v>
      </c>
      <c r="AX44" s="38" t="s">
        <v>255</v>
      </c>
      <c r="AZ44" s="35" t="str">
        <f>$AN$3&amp;" Total"</f>
        <v>7/2021 Total</v>
      </c>
      <c r="BA44" s="47"/>
      <c r="BB44" s="66" t="str">
        <f>IF(COUNTBLANK(AP45:AX45)=9,"","Leave")</f>
        <v/>
      </c>
      <c r="BC44" s="66" t="str">
        <f>IFERROR(VLOOKUP(AM45,#REF!,4,FALSE),"")</f>
        <v/>
      </c>
      <c r="BD44" s="58" t="s">
        <v>256</v>
      </c>
    </row>
    <row r="45" spans="2:56" ht="20.25">
      <c r="B45" s="19" t="e">
        <f>#REF!</f>
        <v>#REF!</v>
      </c>
      <c r="C45" s="5" t="e">
        <f>#REF!</f>
        <v>#REF!</v>
      </c>
      <c r="D45" s="5" t="e">
        <f>#REF!</f>
        <v>#REF!</v>
      </c>
      <c r="E45" s="20" t="e">
        <f>#REF!&amp;#REF!&amp;COUNTIF(#REF!,#REF!)</f>
        <v>#REF!</v>
      </c>
      <c r="F45" s="20" t="e">
        <f>#REF!&amp;#REF!&amp;COUNTIF(#REF!,#REF!)</f>
        <v>#REF!</v>
      </c>
      <c r="G45" s="20" t="e">
        <f>#REF!&amp;#REF!&amp;COUNTIF(#REF!,#REF!)</f>
        <v>#REF!</v>
      </c>
      <c r="H45" s="20" t="e">
        <f>#REF!&amp;#REF!&amp;COUNTIF(#REF!,#REF!)</f>
        <v>#REF!</v>
      </c>
      <c r="I45" s="20" t="e">
        <f>#REF!&amp;#REF!&amp;COUNTIF(#REF!,#REF!)</f>
        <v>#REF!</v>
      </c>
      <c r="J45" s="20" t="e">
        <f>#REF!&amp;#REF!&amp;COUNTIF(#REF!,#REF!)</f>
        <v>#REF!</v>
      </c>
      <c r="K45" s="20" t="e">
        <f>#REF!&amp;#REF!&amp;COUNTIF(#REF!,#REF!)</f>
        <v>#REF!</v>
      </c>
      <c r="L45" s="20" t="e">
        <f>#REF!&amp;#REF!&amp;COUNTIF(#REF!,#REF!)</f>
        <v>#REF!</v>
      </c>
      <c r="M45" s="20" t="e">
        <f>#REF!&amp;#REF!&amp;COUNTIF(#REF!,#REF!)</f>
        <v>#REF!</v>
      </c>
      <c r="N45" s="20" t="e">
        <f>#REF!&amp;#REF!&amp;COUNTIF(#REF!,#REF!)</f>
        <v>#REF!</v>
      </c>
      <c r="O45" s="20" t="e">
        <f>#REF!&amp;#REF!&amp;COUNTIF(#REF!,#REF!)</f>
        <v>#REF!</v>
      </c>
      <c r="P45" s="20" t="e">
        <f>#REF!&amp;#REF!&amp;COUNTIF(#REF!,#REF!)</f>
        <v>#REF!</v>
      </c>
      <c r="Q45" s="20" t="e">
        <f>#REF!&amp;#REF!&amp;COUNTIF(#REF!,#REF!)</f>
        <v>#REF!</v>
      </c>
      <c r="R45" s="20" t="e">
        <f>#REF!&amp;#REF!&amp;COUNTIF(#REF!,#REF!)</f>
        <v>#REF!</v>
      </c>
      <c r="S45" s="20" t="e">
        <f>#REF!&amp;#REF!&amp;COUNTIF(#REF!,#REF!)</f>
        <v>#REF!</v>
      </c>
      <c r="T45" s="20" t="e">
        <f>#REF!&amp;#REF!&amp;COUNTIF(#REF!,#REF!)</f>
        <v>#REF!</v>
      </c>
      <c r="U45" s="20" t="e">
        <f>#REF!&amp;#REF!&amp;COUNTIF(#REF!,#REF!)</f>
        <v>#REF!</v>
      </c>
      <c r="V45" s="20" t="e">
        <f>#REF!&amp;#REF!&amp;COUNTIF(#REF!,#REF!)</f>
        <v>#REF!</v>
      </c>
      <c r="W45" s="20" t="e">
        <f>#REF!&amp;#REF!&amp;COUNTIF(#REF!,#REF!)</f>
        <v>#REF!</v>
      </c>
      <c r="X45" s="20" t="e">
        <f>#REF!&amp;#REF!&amp;COUNTIF(#REF!,#REF!)</f>
        <v>#REF!</v>
      </c>
      <c r="Y45" s="20" t="e">
        <f>#REF!&amp;#REF!&amp;COUNTIF(#REF!,#REF!)</f>
        <v>#REF!</v>
      </c>
      <c r="Z45" s="20" t="e">
        <f>#REF!&amp;#REF!&amp;COUNTIF(#REF!,#REF!)</f>
        <v>#REF!</v>
      </c>
      <c r="AA45" s="20" t="e">
        <f>#REF!&amp;#REF!&amp;COUNTIF(#REF!,#REF!)</f>
        <v>#REF!</v>
      </c>
      <c r="AB45" s="20" t="e">
        <f>#REF!&amp;#REF!&amp;COUNTIF(#REF!,#REF!)</f>
        <v>#REF!</v>
      </c>
      <c r="AC45" s="20" t="e">
        <f>#REF!&amp;#REF!&amp;COUNTIF(#REF!,#REF!)</f>
        <v>#REF!</v>
      </c>
      <c r="AD45" s="20" t="e">
        <f>#REF!&amp;#REF!&amp;COUNTIF(#REF!,#REF!)</f>
        <v>#REF!</v>
      </c>
      <c r="AE45" s="20" t="e">
        <f>#REF!&amp;#REF!&amp;COUNTIF(#REF!,#REF!)</f>
        <v>#REF!</v>
      </c>
      <c r="AF45" s="20" t="e">
        <f>#REF!&amp;#REF!&amp;COUNTIF(#REF!,#REF!)</f>
        <v>#REF!</v>
      </c>
      <c r="AG45" s="20" t="e">
        <f>#REF!&amp;#REF!&amp;COUNTIF(#REF!,#REF!)</f>
        <v>#REF!</v>
      </c>
      <c r="AH45" s="20" t="e">
        <f>#REF!&amp;#REF!&amp;COUNTIF(#REF!,#REF!)</f>
        <v>#REF!</v>
      </c>
      <c r="AI45" s="20" t="e">
        <f>#REF!&amp;#REF!&amp;COUNTIF(#REF!,#REF!)</f>
        <v>#REF!</v>
      </c>
      <c r="AJ45" s="3">
        <v>45</v>
      </c>
      <c r="AM45" s="25" t="e">
        <f>B8</f>
        <v>#REF!</v>
      </c>
      <c r="AN45" s="34" t="e">
        <f>D8</f>
        <v>#REF!</v>
      </c>
      <c r="AP45" s="46" t="str">
        <f t="shared" ref="AP45:AU50" si="25">IFERROR(INDEX($E$3:$AI$3,MATCH($AN45&amp;AP$8&amp;ROW(A1),$E$8:$AI$8,0))&amp;"/"&amp;$AN$3,"")</f>
        <v/>
      </c>
      <c r="AQ45" s="31" t="str">
        <f t="shared" si="25"/>
        <v/>
      </c>
      <c r="AR45" s="31" t="str">
        <f t="shared" si="25"/>
        <v/>
      </c>
      <c r="AS45" s="46" t="str">
        <f t="shared" si="25"/>
        <v/>
      </c>
      <c r="AT45" s="31" t="str">
        <f t="shared" si="25"/>
        <v/>
      </c>
      <c r="AU45" s="31" t="str">
        <f t="shared" si="25"/>
        <v/>
      </c>
      <c r="AV45" s="46" t="str">
        <f t="shared" ref="AV45:AX50" si="26">IFERROR(INDEX($E$3:$AI$3,MATCH($AN45&amp;AV$8&amp;ROW(G1),$E$8:$AI$8,0))&amp;"/"&amp;$AN$3,"")</f>
        <v/>
      </c>
      <c r="AW45" s="31" t="str">
        <f t="shared" si="26"/>
        <v/>
      </c>
      <c r="AX45" s="32" t="str">
        <f t="shared" si="26"/>
        <v/>
      </c>
      <c r="AZ45" s="48" t="s">
        <v>257</v>
      </c>
      <c r="BA45" s="49">
        <f>COUNTA(AP45:AP54)-COUNTBLANK(AP45:AP54)+(COUNTA(AQ45:AQ54)-COUNTBLANK(AQ45:AQ54))*0.5+(COUNTA(AR45:AR54)-COUNTBLANK(AR45:AR54))*0.5</f>
        <v>0</v>
      </c>
      <c r="BB45" s="67" t="str">
        <f>BB44</f>
        <v/>
      </c>
      <c r="BC45" s="67" t="str">
        <f>BC44</f>
        <v/>
      </c>
      <c r="BD45" s="59" t="str">
        <f t="shared" ref="BD45:BD50" si="27">IFERROR(INDEX($E$3:$AI$3,MATCH($AN45&amp;BD$8&amp;ROW(N1),$E$8:$AI$8,0))&amp;"/"&amp;$AN$3,"")</f>
        <v/>
      </c>
    </row>
    <row r="46" spans="2:56" ht="20.25">
      <c r="B46" s="19" t="e">
        <f>#REF!</f>
        <v>#REF!</v>
      </c>
      <c r="C46" s="5" t="e">
        <f>#REF!</f>
        <v>#REF!</v>
      </c>
      <c r="D46" s="5" t="e">
        <f>#REF!</f>
        <v>#REF!</v>
      </c>
      <c r="E46" s="20" t="e">
        <f>#REF!&amp;#REF!&amp;COUNTIF(#REF!,#REF!)</f>
        <v>#REF!</v>
      </c>
      <c r="F46" s="20" t="e">
        <f>#REF!&amp;#REF!&amp;COUNTIF(#REF!,#REF!)</f>
        <v>#REF!</v>
      </c>
      <c r="G46" s="20" t="e">
        <f>#REF!&amp;#REF!&amp;COUNTIF(#REF!,#REF!)</f>
        <v>#REF!</v>
      </c>
      <c r="H46" s="20" t="e">
        <f>#REF!&amp;#REF!&amp;COUNTIF(#REF!,#REF!)</f>
        <v>#REF!</v>
      </c>
      <c r="I46" s="20" t="e">
        <f>#REF!&amp;#REF!&amp;COUNTIF(#REF!,#REF!)</f>
        <v>#REF!</v>
      </c>
      <c r="J46" s="20" t="e">
        <f>#REF!&amp;#REF!&amp;COUNTIF(#REF!,#REF!)</f>
        <v>#REF!</v>
      </c>
      <c r="K46" s="20" t="e">
        <f>#REF!&amp;#REF!&amp;COUNTIF(#REF!,#REF!)</f>
        <v>#REF!</v>
      </c>
      <c r="L46" s="20" t="e">
        <f>#REF!&amp;#REF!&amp;COUNTIF(#REF!,#REF!)</f>
        <v>#REF!</v>
      </c>
      <c r="M46" s="20" t="e">
        <f>#REF!&amp;#REF!&amp;COUNTIF(#REF!,#REF!)</f>
        <v>#REF!</v>
      </c>
      <c r="N46" s="20" t="e">
        <f>#REF!&amp;#REF!&amp;COUNTIF(#REF!,#REF!)</f>
        <v>#REF!</v>
      </c>
      <c r="O46" s="20" t="e">
        <f>#REF!&amp;#REF!&amp;COUNTIF(#REF!,#REF!)</f>
        <v>#REF!</v>
      </c>
      <c r="P46" s="20" t="e">
        <f>#REF!&amp;#REF!&amp;COUNTIF(#REF!,#REF!)</f>
        <v>#REF!</v>
      </c>
      <c r="Q46" s="20" t="e">
        <f>#REF!&amp;#REF!&amp;COUNTIF(#REF!,#REF!)</f>
        <v>#REF!</v>
      </c>
      <c r="R46" s="20" t="e">
        <f>#REF!&amp;#REF!&amp;COUNTIF(#REF!,#REF!)</f>
        <v>#REF!</v>
      </c>
      <c r="S46" s="20" t="e">
        <f>#REF!&amp;#REF!&amp;COUNTIF(#REF!,#REF!)</f>
        <v>#REF!</v>
      </c>
      <c r="T46" s="20" t="e">
        <f>#REF!&amp;#REF!&amp;COUNTIF(#REF!,#REF!)</f>
        <v>#REF!</v>
      </c>
      <c r="U46" s="20" t="e">
        <f>#REF!&amp;#REF!&amp;COUNTIF(#REF!,#REF!)</f>
        <v>#REF!</v>
      </c>
      <c r="V46" s="20" t="e">
        <f>#REF!&amp;#REF!&amp;COUNTIF(#REF!,#REF!)</f>
        <v>#REF!</v>
      </c>
      <c r="W46" s="20" t="e">
        <f>#REF!&amp;#REF!&amp;COUNTIF(#REF!,#REF!)</f>
        <v>#REF!</v>
      </c>
      <c r="X46" s="20" t="e">
        <f>#REF!&amp;#REF!&amp;COUNTIF(#REF!,#REF!)</f>
        <v>#REF!</v>
      </c>
      <c r="Y46" s="20" t="e">
        <f>#REF!&amp;#REF!&amp;COUNTIF(#REF!,#REF!)</f>
        <v>#REF!</v>
      </c>
      <c r="Z46" s="20" t="e">
        <f>#REF!&amp;#REF!&amp;COUNTIF(#REF!,#REF!)</f>
        <v>#REF!</v>
      </c>
      <c r="AA46" s="20" t="e">
        <f>#REF!&amp;#REF!&amp;COUNTIF(#REF!,#REF!)</f>
        <v>#REF!</v>
      </c>
      <c r="AB46" s="20" t="e">
        <f>#REF!&amp;#REF!&amp;COUNTIF(#REF!,#REF!)</f>
        <v>#REF!</v>
      </c>
      <c r="AC46" s="20" t="e">
        <f>#REF!&amp;#REF!&amp;COUNTIF(#REF!,#REF!)</f>
        <v>#REF!</v>
      </c>
      <c r="AD46" s="20" t="e">
        <f>#REF!&amp;#REF!&amp;COUNTIF(#REF!,#REF!)</f>
        <v>#REF!</v>
      </c>
      <c r="AE46" s="20" t="e">
        <f>#REF!&amp;#REF!&amp;COUNTIF(#REF!,#REF!)</f>
        <v>#REF!</v>
      </c>
      <c r="AF46" s="20" t="e">
        <f>#REF!&amp;#REF!&amp;COUNTIF(#REF!,#REF!)</f>
        <v>#REF!</v>
      </c>
      <c r="AG46" s="20" t="e">
        <f>#REF!&amp;#REF!&amp;COUNTIF(#REF!,#REF!)</f>
        <v>#REF!</v>
      </c>
      <c r="AH46" s="20" t="e">
        <f>#REF!&amp;#REF!&amp;COUNTIF(#REF!,#REF!)</f>
        <v>#REF!</v>
      </c>
      <c r="AI46" s="20" t="e">
        <f>#REF!&amp;#REF!&amp;COUNTIF(#REF!,#REF!)</f>
        <v>#REF!</v>
      </c>
      <c r="AJ46" s="3">
        <v>46</v>
      </c>
      <c r="AM46" s="30" t="e">
        <f t="shared" ref="AM46:AM54" si="28">AM45</f>
        <v>#REF!</v>
      </c>
      <c r="AN46" s="27" t="e">
        <f>AN45</f>
        <v>#REF!</v>
      </c>
      <c r="AP46" s="46" t="str">
        <f t="shared" si="25"/>
        <v/>
      </c>
      <c r="AQ46" s="31" t="str">
        <f t="shared" si="25"/>
        <v/>
      </c>
      <c r="AR46" s="31" t="str">
        <f t="shared" si="25"/>
        <v/>
      </c>
      <c r="AS46" s="46" t="str">
        <f t="shared" si="25"/>
        <v/>
      </c>
      <c r="AT46" s="31" t="str">
        <f t="shared" si="25"/>
        <v/>
      </c>
      <c r="AU46" s="31" t="str">
        <f t="shared" si="25"/>
        <v/>
      </c>
      <c r="AV46" s="46" t="str">
        <f t="shared" si="26"/>
        <v/>
      </c>
      <c r="AW46" s="31" t="str">
        <f t="shared" si="26"/>
        <v/>
      </c>
      <c r="AX46" s="32" t="str">
        <f t="shared" si="26"/>
        <v/>
      </c>
      <c r="AZ46" s="48" t="s">
        <v>258</v>
      </c>
      <c r="BA46" s="49">
        <f>COUNTA(AS45:AS54)-COUNTBLANK(AS45:AS54)+(COUNTA(AT45:AT54)-COUNTBLANK(AT45:AT54))*0.5+(COUNTA(AU45:AU54)-COUNTBLANK(AU45:AU54))*0.5</f>
        <v>0</v>
      </c>
      <c r="BB46" s="67" t="str">
        <f t="shared" ref="BB46:BC55" si="29">BB45</f>
        <v/>
      </c>
      <c r="BC46" s="67" t="str">
        <f t="shared" si="29"/>
        <v/>
      </c>
      <c r="BD46" s="60" t="str">
        <f t="shared" si="27"/>
        <v/>
      </c>
    </row>
    <row r="47" spans="2:56" ht="20.25">
      <c r="B47" s="19" t="e">
        <f>#REF!</f>
        <v>#REF!</v>
      </c>
      <c r="C47" s="5" t="e">
        <f>#REF!</f>
        <v>#REF!</v>
      </c>
      <c r="D47" s="5" t="e">
        <f>#REF!</f>
        <v>#REF!</v>
      </c>
      <c r="E47" s="20" t="e">
        <f>#REF!&amp;#REF!&amp;COUNTIF(#REF!,#REF!)</f>
        <v>#REF!</v>
      </c>
      <c r="F47" s="20" t="e">
        <f>#REF!&amp;#REF!&amp;COUNTIF(#REF!,#REF!)</f>
        <v>#REF!</v>
      </c>
      <c r="G47" s="20" t="e">
        <f>#REF!&amp;#REF!&amp;COUNTIF(#REF!,#REF!)</f>
        <v>#REF!</v>
      </c>
      <c r="H47" s="20" t="e">
        <f>#REF!&amp;#REF!&amp;COUNTIF(#REF!,#REF!)</f>
        <v>#REF!</v>
      </c>
      <c r="I47" s="20" t="e">
        <f>#REF!&amp;#REF!&amp;COUNTIF(#REF!,#REF!)</f>
        <v>#REF!</v>
      </c>
      <c r="J47" s="20" t="e">
        <f>#REF!&amp;#REF!&amp;COUNTIF(#REF!,#REF!)</f>
        <v>#REF!</v>
      </c>
      <c r="K47" s="20" t="e">
        <f>#REF!&amp;#REF!&amp;COUNTIF(#REF!,#REF!)</f>
        <v>#REF!</v>
      </c>
      <c r="L47" s="20" t="e">
        <f>#REF!&amp;#REF!&amp;COUNTIF(#REF!,#REF!)</f>
        <v>#REF!</v>
      </c>
      <c r="M47" s="20" t="e">
        <f>#REF!&amp;#REF!&amp;COUNTIF(#REF!,#REF!)</f>
        <v>#REF!</v>
      </c>
      <c r="N47" s="20" t="e">
        <f>#REF!&amp;#REF!&amp;COUNTIF(#REF!,#REF!)</f>
        <v>#REF!</v>
      </c>
      <c r="O47" s="20" t="e">
        <f>#REF!&amp;#REF!&amp;COUNTIF(#REF!,#REF!)</f>
        <v>#REF!</v>
      </c>
      <c r="P47" s="20" t="e">
        <f>#REF!&amp;#REF!&amp;COUNTIF(#REF!,#REF!)</f>
        <v>#REF!</v>
      </c>
      <c r="Q47" s="20" t="e">
        <f>#REF!&amp;#REF!&amp;COUNTIF(#REF!,#REF!)</f>
        <v>#REF!</v>
      </c>
      <c r="R47" s="20" t="e">
        <f>#REF!&amp;#REF!&amp;COUNTIF(#REF!,#REF!)</f>
        <v>#REF!</v>
      </c>
      <c r="S47" s="20" t="e">
        <f>#REF!&amp;#REF!&amp;COUNTIF(#REF!,#REF!)</f>
        <v>#REF!</v>
      </c>
      <c r="T47" s="20" t="e">
        <f>#REF!&amp;#REF!&amp;COUNTIF(#REF!,#REF!)</f>
        <v>#REF!</v>
      </c>
      <c r="U47" s="20" t="e">
        <f>#REF!&amp;#REF!&amp;COUNTIF(#REF!,#REF!)</f>
        <v>#REF!</v>
      </c>
      <c r="V47" s="20" t="e">
        <f>#REF!&amp;#REF!&amp;COUNTIF(#REF!,#REF!)</f>
        <v>#REF!</v>
      </c>
      <c r="W47" s="20" t="e">
        <f>#REF!&amp;#REF!&amp;COUNTIF(#REF!,#REF!)</f>
        <v>#REF!</v>
      </c>
      <c r="X47" s="20" t="e">
        <f>#REF!&amp;#REF!&amp;COUNTIF(#REF!,#REF!)</f>
        <v>#REF!</v>
      </c>
      <c r="Y47" s="20" t="e">
        <f>#REF!&amp;#REF!&amp;COUNTIF(#REF!,#REF!)</f>
        <v>#REF!</v>
      </c>
      <c r="Z47" s="20" t="e">
        <f>#REF!&amp;#REF!&amp;COUNTIF(#REF!,#REF!)</f>
        <v>#REF!</v>
      </c>
      <c r="AA47" s="20" t="e">
        <f>#REF!&amp;#REF!&amp;COUNTIF(#REF!,#REF!)</f>
        <v>#REF!</v>
      </c>
      <c r="AB47" s="20" t="e">
        <f>#REF!&amp;#REF!&amp;COUNTIF(#REF!,#REF!)</f>
        <v>#REF!</v>
      </c>
      <c r="AC47" s="20" t="e">
        <f>#REF!&amp;#REF!&amp;COUNTIF(#REF!,#REF!)</f>
        <v>#REF!</v>
      </c>
      <c r="AD47" s="20" t="e">
        <f>#REF!&amp;#REF!&amp;COUNTIF(#REF!,#REF!)</f>
        <v>#REF!</v>
      </c>
      <c r="AE47" s="20" t="e">
        <f>#REF!&amp;#REF!&amp;COUNTIF(#REF!,#REF!)</f>
        <v>#REF!</v>
      </c>
      <c r="AF47" s="20" t="e">
        <f>#REF!&amp;#REF!&amp;COUNTIF(#REF!,#REF!)</f>
        <v>#REF!</v>
      </c>
      <c r="AG47" s="20" t="e">
        <f>#REF!&amp;#REF!&amp;COUNTIF(#REF!,#REF!)</f>
        <v>#REF!</v>
      </c>
      <c r="AH47" s="20" t="e">
        <f>#REF!&amp;#REF!&amp;COUNTIF(#REF!,#REF!)</f>
        <v>#REF!</v>
      </c>
      <c r="AI47" s="20" t="e">
        <f>#REF!&amp;#REF!&amp;COUNTIF(#REF!,#REF!)</f>
        <v>#REF!</v>
      </c>
      <c r="AJ47" s="3">
        <v>47</v>
      </c>
      <c r="AM47" s="30" t="e">
        <f t="shared" si="28"/>
        <v>#REF!</v>
      </c>
      <c r="AN47" s="27" t="e">
        <f t="shared" ref="AN47:AN54" si="30">AN46</f>
        <v>#REF!</v>
      </c>
      <c r="AP47" s="46" t="str">
        <f t="shared" si="25"/>
        <v/>
      </c>
      <c r="AQ47" s="31" t="str">
        <f t="shared" si="25"/>
        <v/>
      </c>
      <c r="AR47" s="31" t="str">
        <f t="shared" si="25"/>
        <v/>
      </c>
      <c r="AS47" s="46" t="str">
        <f t="shared" si="25"/>
        <v/>
      </c>
      <c r="AT47" s="31" t="str">
        <f t="shared" si="25"/>
        <v/>
      </c>
      <c r="AU47" s="31" t="str">
        <f t="shared" si="25"/>
        <v/>
      </c>
      <c r="AV47" s="46" t="str">
        <f t="shared" si="26"/>
        <v/>
      </c>
      <c r="AW47" s="31" t="str">
        <f t="shared" si="26"/>
        <v/>
      </c>
      <c r="AX47" s="32" t="str">
        <f t="shared" si="26"/>
        <v/>
      </c>
      <c r="AZ47" s="48" t="s">
        <v>259</v>
      </c>
      <c r="BA47" s="49">
        <f>COUNTA(AV45:AV54)-COUNTBLANK(AV45:AV54)+(COUNTA(AW45:AW54)-COUNTBLANK(AW45:AW54))*0.5+(COUNTA(AX45:AX54)-COUNTBLANK(AX45:AX54))*0.5</f>
        <v>0</v>
      </c>
      <c r="BB47" s="67" t="str">
        <f t="shared" si="29"/>
        <v/>
      </c>
      <c r="BC47" s="67" t="str">
        <f t="shared" si="29"/>
        <v/>
      </c>
      <c r="BD47" s="60" t="str">
        <f t="shared" si="27"/>
        <v/>
      </c>
    </row>
    <row r="48" spans="2:56" ht="20.25">
      <c r="B48" s="19" t="e">
        <f>#REF!</f>
        <v>#REF!</v>
      </c>
      <c r="C48" s="5" t="e">
        <f>#REF!</f>
        <v>#REF!</v>
      </c>
      <c r="D48" s="5" t="e">
        <f>#REF!</f>
        <v>#REF!</v>
      </c>
      <c r="E48" s="20" t="e">
        <f>#REF!&amp;#REF!&amp;COUNTIF(#REF!,#REF!)</f>
        <v>#REF!</v>
      </c>
      <c r="F48" s="20" t="e">
        <f>#REF!&amp;#REF!&amp;COUNTIF(#REF!,#REF!)</f>
        <v>#REF!</v>
      </c>
      <c r="G48" s="20" t="e">
        <f>#REF!&amp;#REF!&amp;COUNTIF(#REF!,#REF!)</f>
        <v>#REF!</v>
      </c>
      <c r="H48" s="20" t="e">
        <f>#REF!&amp;#REF!&amp;COUNTIF(#REF!,#REF!)</f>
        <v>#REF!</v>
      </c>
      <c r="I48" s="20" t="e">
        <f>#REF!&amp;#REF!&amp;COUNTIF(#REF!,#REF!)</f>
        <v>#REF!</v>
      </c>
      <c r="J48" s="20" t="e">
        <f>#REF!&amp;#REF!&amp;COUNTIF(#REF!,#REF!)</f>
        <v>#REF!</v>
      </c>
      <c r="K48" s="20" t="e">
        <f>#REF!&amp;#REF!&amp;COUNTIF(#REF!,#REF!)</f>
        <v>#REF!</v>
      </c>
      <c r="L48" s="20" t="e">
        <f>#REF!&amp;#REF!&amp;COUNTIF(#REF!,#REF!)</f>
        <v>#REF!</v>
      </c>
      <c r="M48" s="20" t="e">
        <f>#REF!&amp;#REF!&amp;COUNTIF(#REF!,#REF!)</f>
        <v>#REF!</v>
      </c>
      <c r="N48" s="20" t="e">
        <f>#REF!&amp;#REF!&amp;COUNTIF(#REF!,#REF!)</f>
        <v>#REF!</v>
      </c>
      <c r="O48" s="20" t="e">
        <f>#REF!&amp;#REF!&amp;COUNTIF(#REF!,#REF!)</f>
        <v>#REF!</v>
      </c>
      <c r="P48" s="20" t="e">
        <f>#REF!&amp;#REF!&amp;COUNTIF(#REF!,#REF!)</f>
        <v>#REF!</v>
      </c>
      <c r="Q48" s="20" t="e">
        <f>#REF!&amp;#REF!&amp;COUNTIF(#REF!,#REF!)</f>
        <v>#REF!</v>
      </c>
      <c r="R48" s="20" t="e">
        <f>#REF!&amp;#REF!&amp;COUNTIF(#REF!,#REF!)</f>
        <v>#REF!</v>
      </c>
      <c r="S48" s="20" t="e">
        <f>#REF!&amp;#REF!&amp;COUNTIF(#REF!,#REF!)</f>
        <v>#REF!</v>
      </c>
      <c r="T48" s="20" t="e">
        <f>#REF!&amp;#REF!&amp;COUNTIF(#REF!,#REF!)</f>
        <v>#REF!</v>
      </c>
      <c r="U48" s="20" t="e">
        <f>#REF!&amp;#REF!&amp;COUNTIF(#REF!,#REF!)</f>
        <v>#REF!</v>
      </c>
      <c r="V48" s="20" t="e">
        <f>#REF!&amp;#REF!&amp;COUNTIF(#REF!,#REF!)</f>
        <v>#REF!</v>
      </c>
      <c r="W48" s="20" t="e">
        <f>#REF!&amp;#REF!&amp;COUNTIF(#REF!,#REF!)</f>
        <v>#REF!</v>
      </c>
      <c r="X48" s="20" t="e">
        <f>#REF!&amp;#REF!&amp;COUNTIF(#REF!,#REF!)</f>
        <v>#REF!</v>
      </c>
      <c r="Y48" s="20" t="e">
        <f>#REF!&amp;#REF!&amp;COUNTIF(#REF!,#REF!)</f>
        <v>#REF!</v>
      </c>
      <c r="Z48" s="20" t="e">
        <f>#REF!&amp;#REF!&amp;COUNTIF(#REF!,#REF!)</f>
        <v>#REF!</v>
      </c>
      <c r="AA48" s="20" t="e">
        <f>#REF!&amp;#REF!&amp;COUNTIF(#REF!,#REF!)</f>
        <v>#REF!</v>
      </c>
      <c r="AB48" s="20" t="e">
        <f>#REF!&amp;#REF!&amp;COUNTIF(#REF!,#REF!)</f>
        <v>#REF!</v>
      </c>
      <c r="AC48" s="20" t="e">
        <f>#REF!&amp;#REF!&amp;COUNTIF(#REF!,#REF!)</f>
        <v>#REF!</v>
      </c>
      <c r="AD48" s="20" t="e">
        <f>#REF!&amp;#REF!&amp;COUNTIF(#REF!,#REF!)</f>
        <v>#REF!</v>
      </c>
      <c r="AE48" s="20" t="e">
        <f>#REF!&amp;#REF!&amp;COUNTIF(#REF!,#REF!)</f>
        <v>#REF!</v>
      </c>
      <c r="AF48" s="20" t="e">
        <f>#REF!&amp;#REF!&amp;COUNTIF(#REF!,#REF!)</f>
        <v>#REF!</v>
      </c>
      <c r="AG48" s="20" t="e">
        <f>#REF!&amp;#REF!&amp;COUNTIF(#REF!,#REF!)</f>
        <v>#REF!</v>
      </c>
      <c r="AH48" s="20" t="e">
        <f>#REF!&amp;#REF!&amp;COUNTIF(#REF!,#REF!)</f>
        <v>#REF!</v>
      </c>
      <c r="AI48" s="20" t="e">
        <f>#REF!&amp;#REF!&amp;COUNTIF(#REF!,#REF!)</f>
        <v>#REF!</v>
      </c>
      <c r="AJ48" s="3">
        <v>48</v>
      </c>
      <c r="AM48" s="30" t="e">
        <f t="shared" si="28"/>
        <v>#REF!</v>
      </c>
      <c r="AN48" s="27" t="e">
        <f t="shared" si="30"/>
        <v>#REF!</v>
      </c>
      <c r="AP48" s="46" t="str">
        <f t="shared" si="25"/>
        <v/>
      </c>
      <c r="AQ48" s="31" t="str">
        <f t="shared" si="25"/>
        <v/>
      </c>
      <c r="AR48" s="31" t="str">
        <f t="shared" si="25"/>
        <v/>
      </c>
      <c r="AS48" s="46" t="str">
        <f t="shared" si="25"/>
        <v/>
      </c>
      <c r="AT48" s="31" t="str">
        <f t="shared" si="25"/>
        <v/>
      </c>
      <c r="AU48" s="31" t="str">
        <f t="shared" si="25"/>
        <v/>
      </c>
      <c r="AV48" s="46" t="str">
        <f t="shared" si="26"/>
        <v/>
      </c>
      <c r="AW48" s="31" t="str">
        <f t="shared" si="26"/>
        <v/>
      </c>
      <c r="AX48" s="32" t="str">
        <f t="shared" si="26"/>
        <v/>
      </c>
      <c r="AZ48" s="33"/>
      <c r="BA48" s="23"/>
      <c r="BB48" s="67" t="str">
        <f t="shared" si="29"/>
        <v/>
      </c>
      <c r="BC48" s="67" t="str">
        <f t="shared" si="29"/>
        <v/>
      </c>
      <c r="BD48" s="60" t="str">
        <f t="shared" si="27"/>
        <v/>
      </c>
    </row>
    <row r="49" spans="2:56" ht="20.25">
      <c r="B49" s="19" t="e">
        <f>#REF!</f>
        <v>#REF!</v>
      </c>
      <c r="C49" s="5" t="e">
        <f>#REF!</f>
        <v>#REF!</v>
      </c>
      <c r="D49" s="5" t="e">
        <f>#REF!</f>
        <v>#REF!</v>
      </c>
      <c r="E49" s="20" t="e">
        <f>#REF!&amp;#REF!&amp;COUNTIF(#REF!,#REF!)</f>
        <v>#REF!</v>
      </c>
      <c r="F49" s="20" t="e">
        <f>#REF!&amp;#REF!&amp;COUNTIF(#REF!,#REF!)</f>
        <v>#REF!</v>
      </c>
      <c r="G49" s="20" t="e">
        <f>#REF!&amp;#REF!&amp;COUNTIF(#REF!,#REF!)</f>
        <v>#REF!</v>
      </c>
      <c r="H49" s="20" t="e">
        <f>#REF!&amp;#REF!&amp;COUNTIF(#REF!,#REF!)</f>
        <v>#REF!</v>
      </c>
      <c r="I49" s="20" t="e">
        <f>#REF!&amp;#REF!&amp;COUNTIF(#REF!,#REF!)</f>
        <v>#REF!</v>
      </c>
      <c r="J49" s="20" t="e">
        <f>#REF!&amp;#REF!&amp;COUNTIF(#REF!,#REF!)</f>
        <v>#REF!</v>
      </c>
      <c r="K49" s="20" t="e">
        <f>#REF!&amp;#REF!&amp;COUNTIF(#REF!,#REF!)</f>
        <v>#REF!</v>
      </c>
      <c r="L49" s="20" t="e">
        <f>#REF!&amp;#REF!&amp;COUNTIF(#REF!,#REF!)</f>
        <v>#REF!</v>
      </c>
      <c r="M49" s="20" t="e">
        <f>#REF!&amp;#REF!&amp;COUNTIF(#REF!,#REF!)</f>
        <v>#REF!</v>
      </c>
      <c r="N49" s="20" t="e">
        <f>#REF!&amp;#REF!&amp;COUNTIF(#REF!,#REF!)</f>
        <v>#REF!</v>
      </c>
      <c r="O49" s="20" t="e">
        <f>#REF!&amp;#REF!&amp;COUNTIF(#REF!,#REF!)</f>
        <v>#REF!</v>
      </c>
      <c r="P49" s="20" t="e">
        <f>#REF!&amp;#REF!&amp;COUNTIF(#REF!,#REF!)</f>
        <v>#REF!</v>
      </c>
      <c r="Q49" s="20" t="e">
        <f>#REF!&amp;#REF!&amp;COUNTIF(#REF!,#REF!)</f>
        <v>#REF!</v>
      </c>
      <c r="R49" s="20" t="e">
        <f>#REF!&amp;#REF!&amp;COUNTIF(#REF!,#REF!)</f>
        <v>#REF!</v>
      </c>
      <c r="S49" s="20" t="e">
        <f>#REF!&amp;#REF!&amp;COUNTIF(#REF!,#REF!)</f>
        <v>#REF!</v>
      </c>
      <c r="T49" s="20" t="e">
        <f>#REF!&amp;#REF!&amp;COUNTIF(#REF!,#REF!)</f>
        <v>#REF!</v>
      </c>
      <c r="U49" s="20" t="e">
        <f>#REF!&amp;#REF!&amp;COUNTIF(#REF!,#REF!)</f>
        <v>#REF!</v>
      </c>
      <c r="V49" s="20" t="e">
        <f>#REF!&amp;#REF!&amp;COUNTIF(#REF!,#REF!)</f>
        <v>#REF!</v>
      </c>
      <c r="W49" s="20" t="e">
        <f>#REF!&amp;#REF!&amp;COUNTIF(#REF!,#REF!)</f>
        <v>#REF!</v>
      </c>
      <c r="X49" s="20" t="e">
        <f>#REF!&amp;#REF!&amp;COUNTIF(#REF!,#REF!)</f>
        <v>#REF!</v>
      </c>
      <c r="Y49" s="20" t="e">
        <f>#REF!&amp;#REF!&amp;COUNTIF(#REF!,#REF!)</f>
        <v>#REF!</v>
      </c>
      <c r="Z49" s="20" t="e">
        <f>#REF!&amp;#REF!&amp;COUNTIF(#REF!,#REF!)</f>
        <v>#REF!</v>
      </c>
      <c r="AA49" s="20" t="e">
        <f>#REF!&amp;#REF!&amp;COUNTIF(#REF!,#REF!)</f>
        <v>#REF!</v>
      </c>
      <c r="AB49" s="20" t="e">
        <f>#REF!&amp;#REF!&amp;COUNTIF(#REF!,#REF!)</f>
        <v>#REF!</v>
      </c>
      <c r="AC49" s="20" t="e">
        <f>#REF!&amp;#REF!&amp;COUNTIF(#REF!,#REF!)</f>
        <v>#REF!</v>
      </c>
      <c r="AD49" s="20" t="e">
        <f>#REF!&amp;#REF!&amp;COUNTIF(#REF!,#REF!)</f>
        <v>#REF!</v>
      </c>
      <c r="AE49" s="20" t="e">
        <f>#REF!&amp;#REF!&amp;COUNTIF(#REF!,#REF!)</f>
        <v>#REF!</v>
      </c>
      <c r="AF49" s="20" t="e">
        <f>#REF!&amp;#REF!&amp;COUNTIF(#REF!,#REF!)</f>
        <v>#REF!</v>
      </c>
      <c r="AG49" s="20" t="e">
        <f>#REF!&amp;#REF!&amp;COUNTIF(#REF!,#REF!)</f>
        <v>#REF!</v>
      </c>
      <c r="AH49" s="20" t="e">
        <f>#REF!&amp;#REF!&amp;COUNTIF(#REF!,#REF!)</f>
        <v>#REF!</v>
      </c>
      <c r="AI49" s="20" t="e">
        <f>#REF!&amp;#REF!&amp;COUNTIF(#REF!,#REF!)</f>
        <v>#REF!</v>
      </c>
      <c r="AJ49" s="3">
        <v>49</v>
      </c>
      <c r="AM49" s="30" t="e">
        <f t="shared" si="28"/>
        <v>#REF!</v>
      </c>
      <c r="AN49" s="27" t="e">
        <f t="shared" si="30"/>
        <v>#REF!</v>
      </c>
      <c r="AP49" s="46" t="str">
        <f t="shared" si="25"/>
        <v/>
      </c>
      <c r="AQ49" s="31" t="str">
        <f t="shared" si="25"/>
        <v/>
      </c>
      <c r="AR49" s="31" t="str">
        <f t="shared" si="25"/>
        <v/>
      </c>
      <c r="AS49" s="46" t="str">
        <f t="shared" si="25"/>
        <v/>
      </c>
      <c r="AT49" s="31" t="str">
        <f t="shared" si="25"/>
        <v/>
      </c>
      <c r="AU49" s="31" t="str">
        <f t="shared" si="25"/>
        <v/>
      </c>
      <c r="AV49" s="46" t="str">
        <f t="shared" si="26"/>
        <v/>
      </c>
      <c r="AW49" s="31" t="str">
        <f t="shared" si="26"/>
        <v/>
      </c>
      <c r="AX49" s="32" t="str">
        <f t="shared" si="26"/>
        <v/>
      </c>
      <c r="AZ49" s="33"/>
      <c r="BB49" s="67" t="str">
        <f t="shared" si="29"/>
        <v/>
      </c>
      <c r="BC49" s="67" t="str">
        <f t="shared" si="29"/>
        <v/>
      </c>
      <c r="BD49" s="60" t="str">
        <f t="shared" si="27"/>
        <v/>
      </c>
    </row>
    <row r="50" spans="2:56" ht="20.25">
      <c r="B50" s="19" t="e">
        <f>#REF!</f>
        <v>#REF!</v>
      </c>
      <c r="C50" s="5" t="e">
        <f>#REF!</f>
        <v>#REF!</v>
      </c>
      <c r="D50" s="5" t="e">
        <f>#REF!</f>
        <v>#REF!</v>
      </c>
      <c r="E50" s="20" t="e">
        <f>#REF!&amp;#REF!&amp;COUNTIF(#REF!,#REF!)</f>
        <v>#REF!</v>
      </c>
      <c r="F50" s="20" t="e">
        <f>#REF!&amp;#REF!&amp;COUNTIF(#REF!,#REF!)</f>
        <v>#REF!</v>
      </c>
      <c r="G50" s="20" t="e">
        <f>#REF!&amp;#REF!&amp;COUNTIF(#REF!,#REF!)</f>
        <v>#REF!</v>
      </c>
      <c r="H50" s="20" t="e">
        <f>#REF!&amp;#REF!&amp;COUNTIF(#REF!,#REF!)</f>
        <v>#REF!</v>
      </c>
      <c r="I50" s="20" t="e">
        <f>#REF!&amp;#REF!&amp;COUNTIF(#REF!,#REF!)</f>
        <v>#REF!</v>
      </c>
      <c r="J50" s="20" t="e">
        <f>#REF!&amp;#REF!&amp;COUNTIF(#REF!,#REF!)</f>
        <v>#REF!</v>
      </c>
      <c r="K50" s="20" t="e">
        <f>#REF!&amp;#REF!&amp;COUNTIF(#REF!,#REF!)</f>
        <v>#REF!</v>
      </c>
      <c r="L50" s="20" t="e">
        <f>#REF!&amp;#REF!&amp;COUNTIF(#REF!,#REF!)</f>
        <v>#REF!</v>
      </c>
      <c r="M50" s="20" t="e">
        <f>#REF!&amp;#REF!&amp;COUNTIF(#REF!,#REF!)</f>
        <v>#REF!</v>
      </c>
      <c r="N50" s="20" t="e">
        <f>#REF!&amp;#REF!&amp;COUNTIF(#REF!,#REF!)</f>
        <v>#REF!</v>
      </c>
      <c r="O50" s="20" t="e">
        <f>#REF!&amp;#REF!&amp;COUNTIF(#REF!,#REF!)</f>
        <v>#REF!</v>
      </c>
      <c r="P50" s="20" t="e">
        <f>#REF!&amp;#REF!&amp;COUNTIF(#REF!,#REF!)</f>
        <v>#REF!</v>
      </c>
      <c r="Q50" s="20" t="e">
        <f>#REF!&amp;#REF!&amp;COUNTIF(#REF!,#REF!)</f>
        <v>#REF!</v>
      </c>
      <c r="R50" s="20" t="e">
        <f>#REF!&amp;#REF!&amp;COUNTIF(#REF!,#REF!)</f>
        <v>#REF!</v>
      </c>
      <c r="S50" s="20" t="e">
        <f>#REF!&amp;#REF!&amp;COUNTIF(#REF!,#REF!)</f>
        <v>#REF!</v>
      </c>
      <c r="T50" s="20" t="e">
        <f>#REF!&amp;#REF!&amp;COUNTIF(#REF!,#REF!)</f>
        <v>#REF!</v>
      </c>
      <c r="U50" s="20" t="e">
        <f>#REF!&amp;#REF!&amp;COUNTIF(#REF!,#REF!)</f>
        <v>#REF!</v>
      </c>
      <c r="V50" s="20" t="e">
        <f>#REF!&amp;#REF!&amp;COUNTIF(#REF!,#REF!)</f>
        <v>#REF!</v>
      </c>
      <c r="W50" s="20" t="e">
        <f>#REF!&amp;#REF!&amp;COUNTIF(#REF!,#REF!)</f>
        <v>#REF!</v>
      </c>
      <c r="X50" s="20" t="e">
        <f>#REF!&amp;#REF!&amp;COUNTIF(#REF!,#REF!)</f>
        <v>#REF!</v>
      </c>
      <c r="Y50" s="20" t="e">
        <f>#REF!&amp;#REF!&amp;COUNTIF(#REF!,#REF!)</f>
        <v>#REF!</v>
      </c>
      <c r="Z50" s="20" t="e">
        <f>#REF!&amp;#REF!&amp;COUNTIF(#REF!,#REF!)</f>
        <v>#REF!</v>
      </c>
      <c r="AA50" s="20" t="e">
        <f>#REF!&amp;#REF!&amp;COUNTIF(#REF!,#REF!)</f>
        <v>#REF!</v>
      </c>
      <c r="AB50" s="20" t="e">
        <f>#REF!&amp;#REF!&amp;COUNTIF(#REF!,#REF!)</f>
        <v>#REF!</v>
      </c>
      <c r="AC50" s="20" t="e">
        <f>#REF!&amp;#REF!&amp;COUNTIF(#REF!,#REF!)</f>
        <v>#REF!</v>
      </c>
      <c r="AD50" s="20" t="e">
        <f>#REF!&amp;#REF!&amp;COUNTIF(#REF!,#REF!)</f>
        <v>#REF!</v>
      </c>
      <c r="AE50" s="20" t="e">
        <f>#REF!&amp;#REF!&amp;COUNTIF(#REF!,#REF!)</f>
        <v>#REF!</v>
      </c>
      <c r="AF50" s="20" t="e">
        <f>#REF!&amp;#REF!&amp;COUNTIF(#REF!,#REF!)</f>
        <v>#REF!</v>
      </c>
      <c r="AG50" s="20" t="e">
        <f>#REF!&amp;#REF!&amp;COUNTIF(#REF!,#REF!)</f>
        <v>#REF!</v>
      </c>
      <c r="AH50" s="20" t="e">
        <f>#REF!&amp;#REF!&amp;COUNTIF(#REF!,#REF!)</f>
        <v>#REF!</v>
      </c>
      <c r="AI50" s="20" t="e">
        <f>#REF!&amp;#REF!&amp;COUNTIF(#REF!,#REF!)</f>
        <v>#REF!</v>
      </c>
      <c r="AJ50" s="3">
        <v>50</v>
      </c>
      <c r="AM50" s="30" t="e">
        <f t="shared" si="28"/>
        <v>#REF!</v>
      </c>
      <c r="AN50" s="27" t="e">
        <f t="shared" si="30"/>
        <v>#REF!</v>
      </c>
      <c r="AP50" s="46" t="str">
        <f t="shared" si="25"/>
        <v/>
      </c>
      <c r="AQ50" s="31" t="str">
        <f t="shared" si="25"/>
        <v/>
      </c>
      <c r="AR50" s="31" t="str">
        <f t="shared" si="25"/>
        <v/>
      </c>
      <c r="AS50" s="46" t="str">
        <f t="shared" si="25"/>
        <v/>
      </c>
      <c r="AT50" s="31" t="str">
        <f t="shared" si="25"/>
        <v/>
      </c>
      <c r="AU50" s="31" t="str">
        <f t="shared" si="25"/>
        <v/>
      </c>
      <c r="AV50" s="46" t="str">
        <f t="shared" si="26"/>
        <v/>
      </c>
      <c r="AW50" s="31" t="str">
        <f t="shared" si="26"/>
        <v/>
      </c>
      <c r="AX50" s="32" t="str">
        <f t="shared" si="26"/>
        <v/>
      </c>
      <c r="AZ50" s="23" t="s">
        <v>260</v>
      </c>
      <c r="BB50" s="67" t="str">
        <f t="shared" si="29"/>
        <v/>
      </c>
      <c r="BC50" s="67" t="str">
        <f t="shared" si="29"/>
        <v/>
      </c>
      <c r="BD50" s="60" t="str">
        <f t="shared" si="27"/>
        <v/>
      </c>
    </row>
    <row r="51" spans="2:56" ht="20.25">
      <c r="B51" s="19" t="e">
        <f>#REF!</f>
        <v>#REF!</v>
      </c>
      <c r="C51" s="5" t="e">
        <f>#REF!</f>
        <v>#REF!</v>
      </c>
      <c r="D51" s="5" t="e">
        <f>#REF!</f>
        <v>#REF!</v>
      </c>
      <c r="E51" s="20" t="e">
        <f>#REF!&amp;#REF!&amp;COUNTIF(#REF!,#REF!)</f>
        <v>#REF!</v>
      </c>
      <c r="F51" s="20" t="e">
        <f>#REF!&amp;#REF!&amp;COUNTIF(#REF!,#REF!)</f>
        <v>#REF!</v>
      </c>
      <c r="G51" s="20" t="e">
        <f>#REF!&amp;#REF!&amp;COUNTIF(#REF!,#REF!)</f>
        <v>#REF!</v>
      </c>
      <c r="H51" s="20" t="e">
        <f>#REF!&amp;#REF!&amp;COUNTIF(#REF!,#REF!)</f>
        <v>#REF!</v>
      </c>
      <c r="I51" s="20" t="e">
        <f>#REF!&amp;#REF!&amp;COUNTIF(#REF!,#REF!)</f>
        <v>#REF!</v>
      </c>
      <c r="J51" s="20" t="e">
        <f>#REF!&amp;#REF!&amp;COUNTIF(#REF!,#REF!)</f>
        <v>#REF!</v>
      </c>
      <c r="K51" s="20" t="e">
        <f>#REF!&amp;#REF!&amp;COUNTIF(#REF!,#REF!)</f>
        <v>#REF!</v>
      </c>
      <c r="L51" s="20" t="e">
        <f>#REF!&amp;#REF!&amp;COUNTIF(#REF!,#REF!)</f>
        <v>#REF!</v>
      </c>
      <c r="M51" s="20" t="e">
        <f>#REF!&amp;#REF!&amp;COUNTIF(#REF!,#REF!)</f>
        <v>#REF!</v>
      </c>
      <c r="N51" s="20" t="e">
        <f>#REF!&amp;#REF!&amp;COUNTIF(#REF!,#REF!)</f>
        <v>#REF!</v>
      </c>
      <c r="O51" s="20" t="e">
        <f>#REF!&amp;#REF!&amp;COUNTIF(#REF!,#REF!)</f>
        <v>#REF!</v>
      </c>
      <c r="P51" s="20" t="e">
        <f>#REF!&amp;#REF!&amp;COUNTIF(#REF!,#REF!)</f>
        <v>#REF!</v>
      </c>
      <c r="Q51" s="20" t="e">
        <f>#REF!&amp;#REF!&amp;COUNTIF(#REF!,#REF!)</f>
        <v>#REF!</v>
      </c>
      <c r="R51" s="20" t="e">
        <f>#REF!&amp;#REF!&amp;COUNTIF(#REF!,#REF!)</f>
        <v>#REF!</v>
      </c>
      <c r="S51" s="20" t="e">
        <f>#REF!&amp;#REF!&amp;COUNTIF(#REF!,#REF!)</f>
        <v>#REF!</v>
      </c>
      <c r="T51" s="20" t="e">
        <f>#REF!&amp;#REF!&amp;COUNTIF(#REF!,#REF!)</f>
        <v>#REF!</v>
      </c>
      <c r="U51" s="20" t="e">
        <f>#REF!&amp;#REF!&amp;COUNTIF(#REF!,#REF!)</f>
        <v>#REF!</v>
      </c>
      <c r="V51" s="20" t="e">
        <f>#REF!&amp;#REF!&amp;COUNTIF(#REF!,#REF!)</f>
        <v>#REF!</v>
      </c>
      <c r="W51" s="20" t="e">
        <f>#REF!&amp;#REF!&amp;COUNTIF(#REF!,#REF!)</f>
        <v>#REF!</v>
      </c>
      <c r="X51" s="20" t="e">
        <f>#REF!&amp;#REF!&amp;COUNTIF(#REF!,#REF!)</f>
        <v>#REF!</v>
      </c>
      <c r="Y51" s="20" t="e">
        <f>#REF!&amp;#REF!&amp;COUNTIF(#REF!,#REF!)</f>
        <v>#REF!</v>
      </c>
      <c r="Z51" s="20" t="e">
        <f>#REF!&amp;#REF!&amp;COUNTIF(#REF!,#REF!)</f>
        <v>#REF!</v>
      </c>
      <c r="AA51" s="20" t="e">
        <f>#REF!&amp;#REF!&amp;COUNTIF(#REF!,#REF!)</f>
        <v>#REF!</v>
      </c>
      <c r="AB51" s="20" t="e">
        <f>#REF!&amp;#REF!&amp;COUNTIF(#REF!,#REF!)</f>
        <v>#REF!</v>
      </c>
      <c r="AC51" s="20" t="e">
        <f>#REF!&amp;#REF!&amp;COUNTIF(#REF!,#REF!)</f>
        <v>#REF!</v>
      </c>
      <c r="AD51" s="20" t="e">
        <f>#REF!&amp;#REF!&amp;COUNTIF(#REF!,#REF!)</f>
        <v>#REF!</v>
      </c>
      <c r="AE51" s="20" t="e">
        <f>#REF!&amp;#REF!&amp;COUNTIF(#REF!,#REF!)</f>
        <v>#REF!</v>
      </c>
      <c r="AF51" s="20" t="e">
        <f>#REF!&amp;#REF!&amp;COUNTIF(#REF!,#REF!)</f>
        <v>#REF!</v>
      </c>
      <c r="AG51" s="20" t="e">
        <f>#REF!&amp;#REF!&amp;COUNTIF(#REF!,#REF!)</f>
        <v>#REF!</v>
      </c>
      <c r="AH51" s="20" t="e">
        <f>#REF!&amp;#REF!&amp;COUNTIF(#REF!,#REF!)</f>
        <v>#REF!</v>
      </c>
      <c r="AI51" s="20" t="e">
        <f>#REF!&amp;#REF!&amp;COUNTIF(#REF!,#REF!)</f>
        <v>#REF!</v>
      </c>
      <c r="AJ51" s="3">
        <v>51</v>
      </c>
      <c r="AM51" s="30" t="e">
        <f t="shared" si="28"/>
        <v>#REF!</v>
      </c>
      <c r="AN51" s="27" t="e">
        <f t="shared" si="30"/>
        <v>#REF!</v>
      </c>
      <c r="AP51" s="46" t="str">
        <f t="shared" ref="AP51:AU54" si="31">IFERROR(INDEX($E$3:$AI$3,MATCH($AN51&amp;AP$8&amp;ROW(A8),$E$8:$AI$8,0))&amp;"/"&amp;$AN$3,"")</f>
        <v/>
      </c>
      <c r="AQ51" s="31" t="str">
        <f t="shared" si="31"/>
        <v/>
      </c>
      <c r="AR51" s="31" t="str">
        <f t="shared" si="31"/>
        <v/>
      </c>
      <c r="AS51" s="46" t="str">
        <f t="shared" si="31"/>
        <v/>
      </c>
      <c r="AT51" s="31" t="str">
        <f t="shared" si="31"/>
        <v/>
      </c>
      <c r="AU51" s="31" t="str">
        <f t="shared" si="31"/>
        <v/>
      </c>
      <c r="AV51" s="46" t="str">
        <f t="shared" ref="AV51:AX54" si="32">IFERROR(INDEX($E$3:$AI$3,MATCH($AN51&amp;AV$8&amp;ROW(G8),$E$8:$AI$8,0))&amp;"/"&amp;$AN$3,"")</f>
        <v/>
      </c>
      <c r="AW51" s="31" t="str">
        <f t="shared" si="32"/>
        <v/>
      </c>
      <c r="AX51" s="32" t="str">
        <f t="shared" si="32"/>
        <v/>
      </c>
      <c r="AZ51" s="33"/>
      <c r="BB51" s="67" t="str">
        <f t="shared" si="29"/>
        <v/>
      </c>
      <c r="BC51" s="67" t="str">
        <f t="shared" si="29"/>
        <v/>
      </c>
      <c r="BD51" s="60" t="str">
        <f>IFERROR(INDEX($E$3:$AI$3,MATCH($AN51&amp;BD$8&amp;ROW(N8),$E$8:$AI$8,0))&amp;"/"&amp;$AN$3,"")</f>
        <v/>
      </c>
    </row>
    <row r="52" spans="2:56" ht="18">
      <c r="AM52" s="30" t="e">
        <f t="shared" si="28"/>
        <v>#REF!</v>
      </c>
      <c r="AN52" s="27" t="e">
        <f t="shared" si="30"/>
        <v>#REF!</v>
      </c>
      <c r="AP52" s="46" t="str">
        <f t="shared" si="31"/>
        <v/>
      </c>
      <c r="AQ52" s="31" t="str">
        <f t="shared" si="31"/>
        <v/>
      </c>
      <c r="AR52" s="31" t="str">
        <f t="shared" si="31"/>
        <v/>
      </c>
      <c r="AS52" s="46" t="str">
        <f t="shared" si="31"/>
        <v/>
      </c>
      <c r="AT52" s="31" t="str">
        <f t="shared" si="31"/>
        <v/>
      </c>
      <c r="AU52" s="31" t="str">
        <f t="shared" si="31"/>
        <v/>
      </c>
      <c r="AV52" s="46" t="str">
        <f t="shared" si="32"/>
        <v/>
      </c>
      <c r="AW52" s="31" t="str">
        <f t="shared" si="32"/>
        <v/>
      </c>
      <c r="AX52" s="32" t="str">
        <f t="shared" si="32"/>
        <v/>
      </c>
      <c r="BB52" s="67" t="str">
        <f t="shared" si="29"/>
        <v/>
      </c>
      <c r="BC52" s="67" t="str">
        <f t="shared" si="29"/>
        <v/>
      </c>
      <c r="BD52" s="60" t="str">
        <f>IFERROR(INDEX($E$3:$AI$3,MATCH($AN52&amp;BD$8&amp;ROW(N9),$E$8:$AI$8,0))&amp;"/"&amp;$AN$3,"")</f>
        <v/>
      </c>
    </row>
    <row r="53" spans="2:56" ht="18">
      <c r="AM53" s="30" t="e">
        <f t="shared" si="28"/>
        <v>#REF!</v>
      </c>
      <c r="AN53" s="27" t="e">
        <f t="shared" si="30"/>
        <v>#REF!</v>
      </c>
      <c r="AP53" s="46" t="str">
        <f t="shared" si="31"/>
        <v/>
      </c>
      <c r="AQ53" s="31" t="str">
        <f t="shared" si="31"/>
        <v/>
      </c>
      <c r="AR53" s="31" t="str">
        <f t="shared" si="31"/>
        <v/>
      </c>
      <c r="AS53" s="46" t="str">
        <f t="shared" si="31"/>
        <v/>
      </c>
      <c r="AT53" s="31" t="str">
        <f t="shared" si="31"/>
        <v/>
      </c>
      <c r="AU53" s="31" t="str">
        <f t="shared" si="31"/>
        <v/>
      </c>
      <c r="AV53" s="46" t="str">
        <f t="shared" si="32"/>
        <v/>
      </c>
      <c r="AW53" s="31" t="str">
        <f t="shared" si="32"/>
        <v/>
      </c>
      <c r="AX53" s="32" t="str">
        <f t="shared" si="32"/>
        <v/>
      </c>
      <c r="BB53" s="67" t="str">
        <f t="shared" si="29"/>
        <v/>
      </c>
      <c r="BC53" s="67" t="str">
        <f t="shared" si="29"/>
        <v/>
      </c>
      <c r="BD53" s="60" t="str">
        <f>IFERROR(INDEX($E$3:$AI$3,MATCH($AN53&amp;BD$8&amp;ROW(N10),$E$8:$AI$8,0))&amp;"/"&amp;$AN$3,"")</f>
        <v/>
      </c>
    </row>
    <row r="54" spans="2:56" ht="18.75" thickBot="1">
      <c r="AM54" s="51" t="e">
        <f t="shared" si="28"/>
        <v>#REF!</v>
      </c>
      <c r="AN54" s="28" t="e">
        <f t="shared" si="30"/>
        <v>#REF!</v>
      </c>
      <c r="AO54" s="26"/>
      <c r="AP54" s="52" t="str">
        <f t="shared" si="31"/>
        <v/>
      </c>
      <c r="AQ54" s="53" t="str">
        <f t="shared" si="31"/>
        <v/>
      </c>
      <c r="AR54" s="53" t="str">
        <f t="shared" si="31"/>
        <v/>
      </c>
      <c r="AS54" s="52" t="str">
        <f t="shared" si="31"/>
        <v/>
      </c>
      <c r="AT54" s="53" t="str">
        <f t="shared" si="31"/>
        <v/>
      </c>
      <c r="AU54" s="53" t="str">
        <f t="shared" si="31"/>
        <v/>
      </c>
      <c r="AV54" s="52" t="str">
        <f t="shared" si="32"/>
        <v/>
      </c>
      <c r="AW54" s="53" t="str">
        <f t="shared" si="32"/>
        <v/>
      </c>
      <c r="AX54" s="54" t="str">
        <f t="shared" si="32"/>
        <v/>
      </c>
      <c r="AZ54" s="26" t="str">
        <f>AP54</f>
        <v/>
      </c>
      <c r="BA54" s="29"/>
      <c r="BB54" s="67" t="str">
        <f t="shared" si="29"/>
        <v/>
      </c>
      <c r="BC54" s="67" t="str">
        <f t="shared" si="29"/>
        <v/>
      </c>
      <c r="BD54" s="61" t="str">
        <f>IFERROR(INDEX($E$3:$AI$3,MATCH($AN54&amp;BD$8&amp;ROW(N11),$E$8:$AI$8,0))&amp;"/"&amp;$AN$3,"")</f>
        <v/>
      </c>
    </row>
    <row r="55" spans="2:56" ht="15.75" thickBot="1">
      <c r="BA55" s="22"/>
      <c r="BB55" s="67" t="str">
        <f t="shared" si="29"/>
        <v/>
      </c>
      <c r="BC55" s="67" t="str">
        <f t="shared" si="29"/>
        <v/>
      </c>
    </row>
    <row r="56" spans="2:56" ht="20.25">
      <c r="AM56" s="39"/>
      <c r="AN56" s="40"/>
      <c r="AO56" s="36"/>
      <c r="AP56" s="45" t="s">
        <v>247</v>
      </c>
      <c r="AQ56" s="37" t="s">
        <v>248</v>
      </c>
      <c r="AR56" s="37" t="s">
        <v>249</v>
      </c>
      <c r="AS56" s="45" t="s">
        <v>250</v>
      </c>
      <c r="AT56" s="37" t="s">
        <v>251</v>
      </c>
      <c r="AU56" s="37" t="s">
        <v>252</v>
      </c>
      <c r="AV56" s="45" t="s">
        <v>253</v>
      </c>
      <c r="AW56" s="37" t="s">
        <v>254</v>
      </c>
      <c r="AX56" s="38" t="s">
        <v>255</v>
      </c>
      <c r="AZ56" s="35" t="str">
        <f>$AN$3&amp;" Total"</f>
        <v>7/2021 Total</v>
      </c>
      <c r="BA56" s="47"/>
      <c r="BB56" s="66" t="str">
        <f>IF(COUNTBLANK(AP57:AX57)=9,"","Leave")</f>
        <v/>
      </c>
      <c r="BC56" s="66" t="str">
        <f>IFERROR(VLOOKUP(AM57,#REF!,4,FALSE),"")</f>
        <v/>
      </c>
      <c r="BD56" s="58" t="s">
        <v>256</v>
      </c>
    </row>
    <row r="57" spans="2:56" ht="20.25">
      <c r="AM57" s="25" t="e">
        <f>B9</f>
        <v>#REF!</v>
      </c>
      <c r="AN57" s="34" t="e">
        <f>D9</f>
        <v>#REF!</v>
      </c>
      <c r="AP57" s="46" t="str">
        <f t="shared" ref="AP57:AU62" si="33">IFERROR(INDEX($E$3:$AI$3,MATCH($AN57&amp;AP$8&amp;ROW(A1),$E$9:$AI$9,0))&amp;"/"&amp;$AN$3,"")</f>
        <v/>
      </c>
      <c r="AQ57" s="31" t="str">
        <f t="shared" si="33"/>
        <v/>
      </c>
      <c r="AR57" s="31" t="str">
        <f t="shared" si="33"/>
        <v/>
      </c>
      <c r="AS57" s="46" t="str">
        <f t="shared" si="33"/>
        <v/>
      </c>
      <c r="AT57" s="31" t="str">
        <f t="shared" si="33"/>
        <v/>
      </c>
      <c r="AU57" s="31" t="str">
        <f t="shared" si="33"/>
        <v/>
      </c>
      <c r="AV57" s="46" t="str">
        <f t="shared" ref="AV57:AX62" si="34">IFERROR(INDEX($E$3:$AI$3,MATCH($AN57&amp;AV$8&amp;ROW(G1),$E$9:$AI$9,0))&amp;"/"&amp;$AN$3,"")</f>
        <v/>
      </c>
      <c r="AW57" s="31" t="str">
        <f t="shared" si="34"/>
        <v/>
      </c>
      <c r="AX57" s="32" t="str">
        <f t="shared" si="34"/>
        <v/>
      </c>
      <c r="AZ57" s="48" t="s">
        <v>257</v>
      </c>
      <c r="BA57" s="49">
        <f>COUNTA(AP57:AP66)-COUNTBLANK(AP57:AP66)+(COUNTA(AQ57:AQ66)-COUNTBLANK(AQ57:AQ66))*0.5+(COUNTA(AR57:AR66)-COUNTBLANK(AR57:AR66))*0.5</f>
        <v>0</v>
      </c>
      <c r="BB57" s="67" t="str">
        <f>BB56</f>
        <v/>
      </c>
      <c r="BC57" s="67" t="str">
        <f>BC56</f>
        <v/>
      </c>
      <c r="BD57" s="59" t="str">
        <f t="shared" ref="BD57:BD62" si="35">IFERROR(INDEX($E$3:$AI$3,MATCH($AN57&amp;BD$8&amp;ROW(N1),$E$9:$AI$9,0))&amp;"/"&amp;$AN$3,"")</f>
        <v/>
      </c>
    </row>
    <row r="58" spans="2:56" ht="18.75">
      <c r="AM58" s="30" t="e">
        <f t="shared" ref="AM58:AM66" si="36">AM57</f>
        <v>#REF!</v>
      </c>
      <c r="AN58" s="27" t="e">
        <f>AN57</f>
        <v>#REF!</v>
      </c>
      <c r="AP58" s="46" t="str">
        <f t="shared" si="33"/>
        <v/>
      </c>
      <c r="AQ58" s="31" t="str">
        <f t="shared" si="33"/>
        <v/>
      </c>
      <c r="AR58" s="31" t="str">
        <f t="shared" si="33"/>
        <v/>
      </c>
      <c r="AS58" s="46" t="str">
        <f t="shared" si="33"/>
        <v/>
      </c>
      <c r="AT58" s="31" t="str">
        <f t="shared" si="33"/>
        <v/>
      </c>
      <c r="AU58" s="31" t="str">
        <f t="shared" si="33"/>
        <v/>
      </c>
      <c r="AV58" s="46" t="str">
        <f t="shared" si="34"/>
        <v/>
      </c>
      <c r="AW58" s="31" t="str">
        <f t="shared" si="34"/>
        <v/>
      </c>
      <c r="AX58" s="32" t="str">
        <f t="shared" si="34"/>
        <v/>
      </c>
      <c r="AZ58" s="48" t="s">
        <v>258</v>
      </c>
      <c r="BA58" s="49">
        <f>COUNTA(AS57:AS66)-COUNTBLANK(AS57:AS66)+(COUNTA(AT57:AT66)-COUNTBLANK(AT57:AT66))*0.5+(COUNTA(AU57:AU66)-COUNTBLANK(AU57:AU66))*0.5</f>
        <v>0</v>
      </c>
      <c r="BB58" s="67" t="str">
        <f t="shared" ref="BB58:BC67" si="37">BB57</f>
        <v/>
      </c>
      <c r="BC58" s="67" t="str">
        <f t="shared" si="37"/>
        <v/>
      </c>
      <c r="BD58" s="60" t="str">
        <f t="shared" si="35"/>
        <v/>
      </c>
    </row>
    <row r="59" spans="2:56" ht="18.75">
      <c r="AM59" s="30" t="e">
        <f t="shared" si="36"/>
        <v>#REF!</v>
      </c>
      <c r="AN59" s="27" t="e">
        <f t="shared" ref="AN59:AN66" si="38">AN58</f>
        <v>#REF!</v>
      </c>
      <c r="AP59" s="46" t="str">
        <f t="shared" si="33"/>
        <v/>
      </c>
      <c r="AQ59" s="31" t="str">
        <f t="shared" si="33"/>
        <v/>
      </c>
      <c r="AR59" s="31" t="str">
        <f t="shared" si="33"/>
        <v/>
      </c>
      <c r="AS59" s="46" t="str">
        <f t="shared" si="33"/>
        <v/>
      </c>
      <c r="AT59" s="31" t="str">
        <f t="shared" si="33"/>
        <v/>
      </c>
      <c r="AU59" s="31" t="str">
        <f t="shared" si="33"/>
        <v/>
      </c>
      <c r="AV59" s="46" t="str">
        <f t="shared" si="34"/>
        <v/>
      </c>
      <c r="AW59" s="31" t="str">
        <f t="shared" si="34"/>
        <v/>
      </c>
      <c r="AX59" s="32" t="str">
        <f t="shared" si="34"/>
        <v/>
      </c>
      <c r="AZ59" s="48" t="s">
        <v>259</v>
      </c>
      <c r="BA59" s="49">
        <f>COUNTA(AV57:AV66)-COUNTBLANK(AV57:AV66)+(COUNTA(AW57:AW66)-COUNTBLANK(AW57:AW66))*0.5+(COUNTA(AX57:AX66)-COUNTBLANK(AX57:AX66))*0.5</f>
        <v>0</v>
      </c>
      <c r="BB59" s="67" t="str">
        <f t="shared" si="37"/>
        <v/>
      </c>
      <c r="BC59" s="67" t="str">
        <f t="shared" si="37"/>
        <v/>
      </c>
      <c r="BD59" s="60" t="str">
        <f t="shared" si="35"/>
        <v/>
      </c>
    </row>
    <row r="60" spans="2:56" ht="20.25">
      <c r="AM60" s="30" t="e">
        <f t="shared" si="36"/>
        <v>#REF!</v>
      </c>
      <c r="AN60" s="27" t="e">
        <f t="shared" si="38"/>
        <v>#REF!</v>
      </c>
      <c r="AP60" s="46" t="str">
        <f t="shared" si="33"/>
        <v/>
      </c>
      <c r="AQ60" s="31" t="str">
        <f t="shared" si="33"/>
        <v/>
      </c>
      <c r="AR60" s="31" t="str">
        <f t="shared" si="33"/>
        <v/>
      </c>
      <c r="AS60" s="46" t="str">
        <f t="shared" si="33"/>
        <v/>
      </c>
      <c r="AT60" s="31" t="str">
        <f t="shared" si="33"/>
        <v/>
      </c>
      <c r="AU60" s="31" t="str">
        <f t="shared" si="33"/>
        <v/>
      </c>
      <c r="AV60" s="46" t="str">
        <f t="shared" si="34"/>
        <v/>
      </c>
      <c r="AW60" s="31" t="str">
        <f t="shared" si="34"/>
        <v/>
      </c>
      <c r="AX60" s="32" t="str">
        <f t="shared" si="34"/>
        <v/>
      </c>
      <c r="AZ60" s="33"/>
      <c r="BA60" s="23"/>
      <c r="BB60" s="67" t="str">
        <f t="shared" si="37"/>
        <v/>
      </c>
      <c r="BC60" s="67" t="str">
        <f t="shared" si="37"/>
        <v/>
      </c>
      <c r="BD60" s="60" t="str">
        <f t="shared" si="35"/>
        <v/>
      </c>
    </row>
    <row r="61" spans="2:56" ht="18">
      <c r="AM61" s="30" t="e">
        <f t="shared" si="36"/>
        <v>#REF!</v>
      </c>
      <c r="AN61" s="27" t="e">
        <f t="shared" si="38"/>
        <v>#REF!</v>
      </c>
      <c r="AP61" s="46" t="str">
        <f t="shared" si="33"/>
        <v/>
      </c>
      <c r="AQ61" s="31" t="str">
        <f t="shared" si="33"/>
        <v/>
      </c>
      <c r="AR61" s="31" t="str">
        <f t="shared" si="33"/>
        <v/>
      </c>
      <c r="AS61" s="46" t="str">
        <f t="shared" si="33"/>
        <v/>
      </c>
      <c r="AT61" s="31" t="str">
        <f t="shared" si="33"/>
        <v/>
      </c>
      <c r="AU61" s="31" t="str">
        <f t="shared" si="33"/>
        <v/>
      </c>
      <c r="AV61" s="46" t="str">
        <f t="shared" si="34"/>
        <v/>
      </c>
      <c r="AW61" s="31" t="str">
        <f t="shared" si="34"/>
        <v/>
      </c>
      <c r="AX61" s="32" t="str">
        <f t="shared" si="34"/>
        <v/>
      </c>
      <c r="AZ61" s="33"/>
      <c r="BB61" s="67" t="str">
        <f t="shared" si="37"/>
        <v/>
      </c>
      <c r="BC61" s="67" t="str">
        <f t="shared" si="37"/>
        <v/>
      </c>
      <c r="BD61" s="60" t="str">
        <f t="shared" si="35"/>
        <v/>
      </c>
    </row>
    <row r="62" spans="2:56" ht="20.25">
      <c r="AM62" s="30" t="e">
        <f t="shared" si="36"/>
        <v>#REF!</v>
      </c>
      <c r="AN62" s="27" t="e">
        <f t="shared" si="38"/>
        <v>#REF!</v>
      </c>
      <c r="AP62" s="46" t="str">
        <f t="shared" si="33"/>
        <v/>
      </c>
      <c r="AQ62" s="31" t="str">
        <f t="shared" si="33"/>
        <v/>
      </c>
      <c r="AR62" s="31" t="str">
        <f t="shared" si="33"/>
        <v/>
      </c>
      <c r="AS62" s="46" t="str">
        <f t="shared" si="33"/>
        <v/>
      </c>
      <c r="AT62" s="31" t="str">
        <f t="shared" si="33"/>
        <v/>
      </c>
      <c r="AU62" s="31" t="str">
        <f t="shared" si="33"/>
        <v/>
      </c>
      <c r="AV62" s="46" t="str">
        <f t="shared" si="34"/>
        <v/>
      </c>
      <c r="AW62" s="31" t="str">
        <f t="shared" si="34"/>
        <v/>
      </c>
      <c r="AX62" s="32" t="str">
        <f t="shared" si="34"/>
        <v/>
      </c>
      <c r="AZ62" s="23" t="s">
        <v>260</v>
      </c>
      <c r="BB62" s="67" t="str">
        <f t="shared" si="37"/>
        <v/>
      </c>
      <c r="BC62" s="67" t="str">
        <f t="shared" si="37"/>
        <v/>
      </c>
      <c r="BD62" s="60" t="str">
        <f t="shared" si="35"/>
        <v/>
      </c>
    </row>
    <row r="63" spans="2:56" ht="18">
      <c r="AM63" s="30" t="e">
        <f t="shared" si="36"/>
        <v>#REF!</v>
      </c>
      <c r="AN63" s="27" t="e">
        <f t="shared" si="38"/>
        <v>#REF!</v>
      </c>
      <c r="AP63" s="46" t="str">
        <f t="shared" ref="AP63:AU66" si="39">IFERROR(INDEX($E$3:$AI$3,MATCH($AN63&amp;AP$8&amp;ROW(A8),$E$9:$AI$9,0))&amp;"/"&amp;$AN$3,"")</f>
        <v/>
      </c>
      <c r="AQ63" s="31" t="str">
        <f t="shared" si="39"/>
        <v/>
      </c>
      <c r="AR63" s="31" t="str">
        <f t="shared" si="39"/>
        <v/>
      </c>
      <c r="AS63" s="46" t="str">
        <f t="shared" si="39"/>
        <v/>
      </c>
      <c r="AT63" s="31" t="str">
        <f t="shared" si="39"/>
        <v/>
      </c>
      <c r="AU63" s="31" t="str">
        <f t="shared" si="39"/>
        <v/>
      </c>
      <c r="AV63" s="46" t="str">
        <f t="shared" ref="AV63:AX66" si="40">IFERROR(INDEX($E$3:$AI$3,MATCH($AN63&amp;AV$8&amp;ROW(G8),$E$9:$AI$9,0))&amp;"/"&amp;$AN$3,"")</f>
        <v/>
      </c>
      <c r="AW63" s="31" t="str">
        <f t="shared" si="40"/>
        <v/>
      </c>
      <c r="AX63" s="32" t="str">
        <f t="shared" si="40"/>
        <v/>
      </c>
      <c r="AZ63" s="33"/>
      <c r="BB63" s="67" t="str">
        <f t="shared" si="37"/>
        <v/>
      </c>
      <c r="BC63" s="67" t="str">
        <f t="shared" si="37"/>
        <v/>
      </c>
      <c r="BD63" s="60" t="str">
        <f>IFERROR(INDEX($E$3:$AI$3,MATCH($AN63&amp;BD$8&amp;ROW(N8),$E$9:$AI$9,0))&amp;"/"&amp;$AN$3,"")</f>
        <v/>
      </c>
    </row>
    <row r="64" spans="2:56" ht="18">
      <c r="AM64" s="30" t="e">
        <f t="shared" si="36"/>
        <v>#REF!</v>
      </c>
      <c r="AN64" s="27" t="e">
        <f t="shared" si="38"/>
        <v>#REF!</v>
      </c>
      <c r="AP64" s="46" t="str">
        <f t="shared" si="39"/>
        <v/>
      </c>
      <c r="AQ64" s="31" t="str">
        <f t="shared" si="39"/>
        <v/>
      </c>
      <c r="AR64" s="31" t="str">
        <f t="shared" si="39"/>
        <v/>
      </c>
      <c r="AS64" s="46" t="str">
        <f t="shared" si="39"/>
        <v/>
      </c>
      <c r="AT64" s="31" t="str">
        <f t="shared" si="39"/>
        <v/>
      </c>
      <c r="AU64" s="31" t="str">
        <f t="shared" si="39"/>
        <v/>
      </c>
      <c r="AV64" s="46" t="str">
        <f t="shared" si="40"/>
        <v/>
      </c>
      <c r="AW64" s="31" t="str">
        <f t="shared" si="40"/>
        <v/>
      </c>
      <c r="AX64" s="32" t="str">
        <f t="shared" si="40"/>
        <v/>
      </c>
      <c r="BB64" s="67" t="str">
        <f t="shared" si="37"/>
        <v/>
      </c>
      <c r="BC64" s="67" t="str">
        <f t="shared" si="37"/>
        <v/>
      </c>
      <c r="BD64" s="60" t="str">
        <f>IFERROR(INDEX($E$3:$AI$3,MATCH($AN64&amp;BD$8&amp;ROW(N9),$E$9:$AI$9,0))&amp;"/"&amp;$AN$3,"")</f>
        <v/>
      </c>
    </row>
    <row r="65" spans="39:56" ht="18">
      <c r="AM65" s="30" t="e">
        <f t="shared" si="36"/>
        <v>#REF!</v>
      </c>
      <c r="AN65" s="27" t="e">
        <f t="shared" si="38"/>
        <v>#REF!</v>
      </c>
      <c r="AP65" s="46" t="str">
        <f t="shared" si="39"/>
        <v/>
      </c>
      <c r="AQ65" s="31" t="str">
        <f t="shared" si="39"/>
        <v/>
      </c>
      <c r="AR65" s="31" t="str">
        <f t="shared" si="39"/>
        <v/>
      </c>
      <c r="AS65" s="46" t="str">
        <f t="shared" si="39"/>
        <v/>
      </c>
      <c r="AT65" s="31" t="str">
        <f t="shared" si="39"/>
        <v/>
      </c>
      <c r="AU65" s="31" t="str">
        <f t="shared" si="39"/>
        <v/>
      </c>
      <c r="AV65" s="46" t="str">
        <f t="shared" si="40"/>
        <v/>
      </c>
      <c r="AW65" s="31" t="str">
        <f t="shared" si="40"/>
        <v/>
      </c>
      <c r="AX65" s="32" t="str">
        <f t="shared" si="40"/>
        <v/>
      </c>
      <c r="BB65" s="67" t="str">
        <f t="shared" si="37"/>
        <v/>
      </c>
      <c r="BC65" s="67" t="str">
        <f t="shared" si="37"/>
        <v/>
      </c>
      <c r="BD65" s="60" t="str">
        <f>IFERROR(INDEX($E$3:$AI$3,MATCH($AN65&amp;BD$8&amp;ROW(N10),$E$9:$AI$9,0))&amp;"/"&amp;$AN$3,"")</f>
        <v/>
      </c>
    </row>
    <row r="66" spans="39:56" ht="18.75" thickBot="1">
      <c r="AM66" s="51" t="e">
        <f t="shared" si="36"/>
        <v>#REF!</v>
      </c>
      <c r="AN66" s="28" t="e">
        <f t="shared" si="38"/>
        <v>#REF!</v>
      </c>
      <c r="AO66" s="26"/>
      <c r="AP66" s="52" t="str">
        <f t="shared" si="39"/>
        <v/>
      </c>
      <c r="AQ66" s="53" t="str">
        <f t="shared" si="39"/>
        <v/>
      </c>
      <c r="AR66" s="53" t="str">
        <f t="shared" si="39"/>
        <v/>
      </c>
      <c r="AS66" s="52" t="str">
        <f t="shared" si="39"/>
        <v/>
      </c>
      <c r="AT66" s="53" t="str">
        <f t="shared" si="39"/>
        <v/>
      </c>
      <c r="AU66" s="53" t="str">
        <f t="shared" si="39"/>
        <v/>
      </c>
      <c r="AV66" s="52" t="str">
        <f t="shared" si="40"/>
        <v/>
      </c>
      <c r="AW66" s="53" t="str">
        <f t="shared" si="40"/>
        <v/>
      </c>
      <c r="AX66" s="54" t="str">
        <f t="shared" si="40"/>
        <v/>
      </c>
      <c r="AZ66" s="26" t="str">
        <f>AP66</f>
        <v/>
      </c>
      <c r="BA66" s="29"/>
      <c r="BB66" s="67" t="str">
        <f t="shared" si="37"/>
        <v/>
      </c>
      <c r="BC66" s="67" t="str">
        <f t="shared" si="37"/>
        <v/>
      </c>
      <c r="BD66" s="61" t="str">
        <f>IFERROR(INDEX($E$3:$AI$3,MATCH($AN66&amp;BD$8&amp;ROW(N11),$E$9:$AI$9,0))&amp;"/"&amp;$AN$3,"")</f>
        <v/>
      </c>
    </row>
    <row r="67" spans="39:56" ht="15.75" thickBot="1">
      <c r="BA67" s="22"/>
      <c r="BB67" s="67" t="str">
        <f t="shared" si="37"/>
        <v/>
      </c>
      <c r="BC67" s="67" t="str">
        <f t="shared" si="37"/>
        <v/>
      </c>
    </row>
    <row r="68" spans="39:56" ht="20.25">
      <c r="AM68" s="39"/>
      <c r="AN68" s="40"/>
      <c r="AO68" s="36"/>
      <c r="AP68" s="45" t="s">
        <v>247</v>
      </c>
      <c r="AQ68" s="37" t="s">
        <v>248</v>
      </c>
      <c r="AR68" s="37" t="s">
        <v>249</v>
      </c>
      <c r="AS68" s="45" t="s">
        <v>250</v>
      </c>
      <c r="AT68" s="37" t="s">
        <v>251</v>
      </c>
      <c r="AU68" s="37" t="s">
        <v>252</v>
      </c>
      <c r="AV68" s="45" t="s">
        <v>253</v>
      </c>
      <c r="AW68" s="37" t="s">
        <v>254</v>
      </c>
      <c r="AX68" s="38" t="s">
        <v>255</v>
      </c>
      <c r="AZ68" s="35" t="str">
        <f>$AN$3&amp;" Total"</f>
        <v>7/2021 Total</v>
      </c>
      <c r="BA68" s="47"/>
      <c r="BB68" s="66" t="str">
        <f>IF(COUNTBLANK(AP69:AX69)=9,"","Leave")</f>
        <v/>
      </c>
      <c r="BC68" s="66" t="str">
        <f>IFERROR(VLOOKUP(AM69,#REF!,4,FALSE),"")</f>
        <v/>
      </c>
      <c r="BD68" s="58" t="s">
        <v>256</v>
      </c>
    </row>
    <row r="69" spans="39:56" ht="20.25">
      <c r="AM69" s="25" t="e">
        <f>B10</f>
        <v>#REF!</v>
      </c>
      <c r="AN69" s="34" t="e">
        <f>D10</f>
        <v>#REF!</v>
      </c>
      <c r="AP69" s="46" t="str">
        <f t="shared" ref="AP69:AU74" si="41">IFERROR(INDEX($E$3:$AI$3,MATCH($AN69&amp;AP$8&amp;ROW(A1),$E$10:$AI$10,0))&amp;"/"&amp;$AN$3,"")</f>
        <v/>
      </c>
      <c r="AQ69" s="31" t="str">
        <f t="shared" si="41"/>
        <v/>
      </c>
      <c r="AR69" s="31" t="str">
        <f t="shared" si="41"/>
        <v/>
      </c>
      <c r="AS69" s="46" t="str">
        <f t="shared" si="41"/>
        <v/>
      </c>
      <c r="AT69" s="31" t="str">
        <f t="shared" si="41"/>
        <v/>
      </c>
      <c r="AU69" s="31" t="str">
        <f t="shared" si="41"/>
        <v/>
      </c>
      <c r="AV69" s="46" t="str">
        <f t="shared" ref="AV69:AX74" si="42">IFERROR(INDEX($E$3:$AI$3,MATCH($AN69&amp;AV$8&amp;ROW(G1),$E$10:$AI$10,0))&amp;"/"&amp;$AN$3,"")</f>
        <v/>
      </c>
      <c r="AW69" s="31" t="str">
        <f t="shared" si="42"/>
        <v/>
      </c>
      <c r="AX69" s="32" t="str">
        <f t="shared" si="42"/>
        <v/>
      </c>
      <c r="AZ69" s="48" t="s">
        <v>257</v>
      </c>
      <c r="BA69" s="49">
        <f>COUNTA(AP69:AP78)-COUNTBLANK(AP69:AP78)+(COUNTA(AQ69:AQ78)-COUNTBLANK(AQ69:AQ78))*0.5+(COUNTA(AR69:AR78)-COUNTBLANK(AR69:AR78))*0.5</f>
        <v>0</v>
      </c>
      <c r="BB69" s="67" t="str">
        <f>BB68</f>
        <v/>
      </c>
      <c r="BC69" s="67" t="str">
        <f>BC68</f>
        <v/>
      </c>
      <c r="BD69" s="59" t="str">
        <f t="shared" ref="BD69:BD74" si="43">IFERROR(INDEX($E$3:$AI$3,MATCH($AN69&amp;BD$8&amp;ROW(N1),$E$10:$AI$10,0))&amp;"/"&amp;$AN$3,"")</f>
        <v/>
      </c>
    </row>
    <row r="70" spans="39:56" ht="18.75">
      <c r="AM70" s="30" t="e">
        <f t="shared" ref="AM70:AM78" si="44">AM69</f>
        <v>#REF!</v>
      </c>
      <c r="AN70" s="27" t="e">
        <f>AN69</f>
        <v>#REF!</v>
      </c>
      <c r="AP70" s="46" t="str">
        <f t="shared" si="41"/>
        <v/>
      </c>
      <c r="AQ70" s="31" t="str">
        <f t="shared" si="41"/>
        <v/>
      </c>
      <c r="AR70" s="31" t="str">
        <f t="shared" si="41"/>
        <v/>
      </c>
      <c r="AS70" s="46" t="str">
        <f t="shared" si="41"/>
        <v/>
      </c>
      <c r="AT70" s="31" t="str">
        <f t="shared" si="41"/>
        <v/>
      </c>
      <c r="AU70" s="31" t="str">
        <f t="shared" si="41"/>
        <v/>
      </c>
      <c r="AV70" s="46" t="str">
        <f t="shared" si="42"/>
        <v/>
      </c>
      <c r="AW70" s="31" t="str">
        <f t="shared" si="42"/>
        <v/>
      </c>
      <c r="AX70" s="32" t="str">
        <f t="shared" si="42"/>
        <v/>
      </c>
      <c r="AZ70" s="48" t="s">
        <v>258</v>
      </c>
      <c r="BA70" s="49">
        <f>COUNTA(AS69:AS78)-COUNTBLANK(AS69:AS78)+(COUNTA(AT69:AT78)-COUNTBLANK(AT69:AT78))*0.5+(COUNTA(AU69:AU78)-COUNTBLANK(AU69:AU78))*0.5</f>
        <v>0</v>
      </c>
      <c r="BB70" s="67" t="str">
        <f t="shared" ref="BB70:BC79" si="45">BB69</f>
        <v/>
      </c>
      <c r="BC70" s="67" t="str">
        <f t="shared" si="45"/>
        <v/>
      </c>
      <c r="BD70" s="60" t="str">
        <f t="shared" si="43"/>
        <v/>
      </c>
    </row>
    <row r="71" spans="39:56" ht="18.75">
      <c r="AM71" s="30" t="e">
        <f t="shared" si="44"/>
        <v>#REF!</v>
      </c>
      <c r="AN71" s="27" t="e">
        <f t="shared" ref="AN71:AN78" si="46">AN70</f>
        <v>#REF!</v>
      </c>
      <c r="AP71" s="46" t="str">
        <f t="shared" si="41"/>
        <v/>
      </c>
      <c r="AQ71" s="31" t="str">
        <f t="shared" si="41"/>
        <v/>
      </c>
      <c r="AR71" s="31" t="str">
        <f t="shared" si="41"/>
        <v/>
      </c>
      <c r="AS71" s="46" t="str">
        <f t="shared" si="41"/>
        <v/>
      </c>
      <c r="AT71" s="31" t="str">
        <f t="shared" si="41"/>
        <v/>
      </c>
      <c r="AU71" s="31" t="str">
        <f t="shared" si="41"/>
        <v/>
      </c>
      <c r="AV71" s="46" t="str">
        <f t="shared" si="42"/>
        <v/>
      </c>
      <c r="AW71" s="31" t="str">
        <f t="shared" si="42"/>
        <v/>
      </c>
      <c r="AX71" s="32" t="str">
        <f t="shared" si="42"/>
        <v/>
      </c>
      <c r="AZ71" s="48" t="s">
        <v>259</v>
      </c>
      <c r="BA71" s="49">
        <f>COUNTA(AV69:AV78)-COUNTBLANK(AV69:AV78)+(COUNTA(AW69:AW78)-COUNTBLANK(AW69:AW78))*0.5+(COUNTA(AX69:AX78)-COUNTBLANK(AX69:AX78))*0.5</f>
        <v>0</v>
      </c>
      <c r="BB71" s="67" t="str">
        <f t="shared" si="45"/>
        <v/>
      </c>
      <c r="BC71" s="67" t="str">
        <f t="shared" si="45"/>
        <v/>
      </c>
      <c r="BD71" s="60" t="str">
        <f t="shared" si="43"/>
        <v/>
      </c>
    </row>
    <row r="72" spans="39:56" ht="20.25">
      <c r="AM72" s="30" t="e">
        <f t="shared" si="44"/>
        <v>#REF!</v>
      </c>
      <c r="AN72" s="27" t="e">
        <f t="shared" si="46"/>
        <v>#REF!</v>
      </c>
      <c r="AP72" s="46" t="str">
        <f t="shared" si="41"/>
        <v/>
      </c>
      <c r="AQ72" s="31" t="str">
        <f t="shared" si="41"/>
        <v/>
      </c>
      <c r="AR72" s="31" t="str">
        <f t="shared" si="41"/>
        <v/>
      </c>
      <c r="AS72" s="46" t="str">
        <f t="shared" si="41"/>
        <v/>
      </c>
      <c r="AT72" s="31" t="str">
        <f t="shared" si="41"/>
        <v/>
      </c>
      <c r="AU72" s="31" t="str">
        <f t="shared" si="41"/>
        <v/>
      </c>
      <c r="AV72" s="46" t="str">
        <f t="shared" si="42"/>
        <v/>
      </c>
      <c r="AW72" s="31" t="str">
        <f t="shared" si="42"/>
        <v/>
      </c>
      <c r="AX72" s="32" t="str">
        <f t="shared" si="42"/>
        <v/>
      </c>
      <c r="AZ72" s="33"/>
      <c r="BA72" s="23"/>
      <c r="BB72" s="67" t="str">
        <f t="shared" si="45"/>
        <v/>
      </c>
      <c r="BC72" s="67" t="str">
        <f t="shared" si="45"/>
        <v/>
      </c>
      <c r="BD72" s="60" t="str">
        <f t="shared" si="43"/>
        <v/>
      </c>
    </row>
    <row r="73" spans="39:56" ht="18">
      <c r="AM73" s="30" t="e">
        <f t="shared" si="44"/>
        <v>#REF!</v>
      </c>
      <c r="AN73" s="27" t="e">
        <f t="shared" si="46"/>
        <v>#REF!</v>
      </c>
      <c r="AP73" s="46" t="str">
        <f t="shared" si="41"/>
        <v/>
      </c>
      <c r="AQ73" s="31" t="str">
        <f t="shared" si="41"/>
        <v/>
      </c>
      <c r="AR73" s="31" t="str">
        <f t="shared" si="41"/>
        <v/>
      </c>
      <c r="AS73" s="46" t="str">
        <f t="shared" si="41"/>
        <v/>
      </c>
      <c r="AT73" s="31" t="str">
        <f t="shared" si="41"/>
        <v/>
      </c>
      <c r="AU73" s="31" t="str">
        <f t="shared" si="41"/>
        <v/>
      </c>
      <c r="AV73" s="46" t="str">
        <f t="shared" si="42"/>
        <v/>
      </c>
      <c r="AW73" s="31" t="str">
        <f t="shared" si="42"/>
        <v/>
      </c>
      <c r="AX73" s="32" t="str">
        <f t="shared" si="42"/>
        <v/>
      </c>
      <c r="AZ73" s="33"/>
      <c r="BB73" s="67" t="str">
        <f t="shared" si="45"/>
        <v/>
      </c>
      <c r="BC73" s="67" t="str">
        <f t="shared" si="45"/>
        <v/>
      </c>
      <c r="BD73" s="60" t="str">
        <f t="shared" si="43"/>
        <v/>
      </c>
    </row>
    <row r="74" spans="39:56" ht="20.25">
      <c r="AM74" s="30" t="e">
        <f t="shared" si="44"/>
        <v>#REF!</v>
      </c>
      <c r="AN74" s="27" t="e">
        <f t="shared" si="46"/>
        <v>#REF!</v>
      </c>
      <c r="AP74" s="46" t="str">
        <f t="shared" si="41"/>
        <v/>
      </c>
      <c r="AQ74" s="31" t="str">
        <f t="shared" si="41"/>
        <v/>
      </c>
      <c r="AR74" s="31" t="str">
        <f t="shared" si="41"/>
        <v/>
      </c>
      <c r="AS74" s="46" t="str">
        <f t="shared" si="41"/>
        <v/>
      </c>
      <c r="AT74" s="31" t="str">
        <f t="shared" si="41"/>
        <v/>
      </c>
      <c r="AU74" s="31" t="str">
        <f t="shared" si="41"/>
        <v/>
      </c>
      <c r="AV74" s="46" t="str">
        <f t="shared" si="42"/>
        <v/>
      </c>
      <c r="AW74" s="31" t="str">
        <f t="shared" si="42"/>
        <v/>
      </c>
      <c r="AX74" s="32" t="str">
        <f t="shared" si="42"/>
        <v/>
      </c>
      <c r="AZ74" s="23" t="s">
        <v>260</v>
      </c>
      <c r="BB74" s="67" t="str">
        <f t="shared" si="45"/>
        <v/>
      </c>
      <c r="BC74" s="67" t="str">
        <f t="shared" si="45"/>
        <v/>
      </c>
      <c r="BD74" s="60" t="str">
        <f t="shared" si="43"/>
        <v/>
      </c>
    </row>
    <row r="75" spans="39:56" ht="18">
      <c r="AM75" s="30" t="e">
        <f t="shared" si="44"/>
        <v>#REF!</v>
      </c>
      <c r="AN75" s="27" t="e">
        <f t="shared" si="46"/>
        <v>#REF!</v>
      </c>
      <c r="AP75" s="46" t="str">
        <f t="shared" ref="AP75:AU78" si="47">IFERROR(INDEX($E$3:$AI$3,MATCH($AN75&amp;AP$8&amp;ROW(A8),$E$10:$AI$10,0))&amp;"/"&amp;$AN$3,"")</f>
        <v/>
      </c>
      <c r="AQ75" s="31" t="str">
        <f t="shared" si="47"/>
        <v/>
      </c>
      <c r="AR75" s="31" t="str">
        <f t="shared" si="47"/>
        <v/>
      </c>
      <c r="AS75" s="46" t="str">
        <f t="shared" si="47"/>
        <v/>
      </c>
      <c r="AT75" s="31" t="str">
        <f t="shared" si="47"/>
        <v/>
      </c>
      <c r="AU75" s="31" t="str">
        <f t="shared" si="47"/>
        <v/>
      </c>
      <c r="AV75" s="46" t="str">
        <f t="shared" ref="AV75:AX78" si="48">IFERROR(INDEX($E$3:$AI$3,MATCH($AN75&amp;AV$8&amp;ROW(G8),$E$10:$AI$10,0))&amp;"/"&amp;$AN$3,"")</f>
        <v/>
      </c>
      <c r="AW75" s="31" t="str">
        <f t="shared" si="48"/>
        <v/>
      </c>
      <c r="AX75" s="32" t="str">
        <f t="shared" si="48"/>
        <v/>
      </c>
      <c r="AZ75" s="33"/>
      <c r="BB75" s="67" t="str">
        <f t="shared" si="45"/>
        <v/>
      </c>
      <c r="BC75" s="67" t="str">
        <f t="shared" si="45"/>
        <v/>
      </c>
      <c r="BD75" s="60" t="str">
        <f>IFERROR(INDEX($E$3:$AI$3,MATCH($AN75&amp;BD$8&amp;ROW(N8),$E$10:$AI$10,0))&amp;"/"&amp;$AN$3,"")</f>
        <v/>
      </c>
    </row>
    <row r="76" spans="39:56" ht="18">
      <c r="AM76" s="30" t="e">
        <f t="shared" si="44"/>
        <v>#REF!</v>
      </c>
      <c r="AN76" s="27" t="e">
        <f t="shared" si="46"/>
        <v>#REF!</v>
      </c>
      <c r="AP76" s="46" t="str">
        <f t="shared" si="47"/>
        <v/>
      </c>
      <c r="AQ76" s="31" t="str">
        <f t="shared" si="47"/>
        <v/>
      </c>
      <c r="AR76" s="31" t="str">
        <f t="shared" si="47"/>
        <v/>
      </c>
      <c r="AS76" s="46" t="str">
        <f t="shared" si="47"/>
        <v/>
      </c>
      <c r="AT76" s="31" t="str">
        <f t="shared" si="47"/>
        <v/>
      </c>
      <c r="AU76" s="31" t="str">
        <f t="shared" si="47"/>
        <v/>
      </c>
      <c r="AV76" s="46" t="str">
        <f t="shared" si="48"/>
        <v/>
      </c>
      <c r="AW76" s="31" t="str">
        <f t="shared" si="48"/>
        <v/>
      </c>
      <c r="AX76" s="32" t="str">
        <f t="shared" si="48"/>
        <v/>
      </c>
      <c r="BB76" s="67" t="str">
        <f t="shared" si="45"/>
        <v/>
      </c>
      <c r="BC76" s="67" t="str">
        <f t="shared" si="45"/>
        <v/>
      </c>
      <c r="BD76" s="60" t="str">
        <f>IFERROR(INDEX($E$3:$AI$3,MATCH($AN76&amp;BD$8&amp;ROW(N9),$E$10:$AI$10,0))&amp;"/"&amp;$AN$3,"")</f>
        <v/>
      </c>
    </row>
    <row r="77" spans="39:56" ht="18">
      <c r="AM77" s="30" t="e">
        <f t="shared" si="44"/>
        <v>#REF!</v>
      </c>
      <c r="AN77" s="27" t="e">
        <f t="shared" si="46"/>
        <v>#REF!</v>
      </c>
      <c r="AP77" s="46" t="str">
        <f t="shared" si="47"/>
        <v/>
      </c>
      <c r="AQ77" s="31" t="str">
        <f t="shared" si="47"/>
        <v/>
      </c>
      <c r="AR77" s="31" t="str">
        <f t="shared" si="47"/>
        <v/>
      </c>
      <c r="AS77" s="46" t="str">
        <f t="shared" si="47"/>
        <v/>
      </c>
      <c r="AT77" s="31" t="str">
        <f t="shared" si="47"/>
        <v/>
      </c>
      <c r="AU77" s="31" t="str">
        <f t="shared" si="47"/>
        <v/>
      </c>
      <c r="AV77" s="46" t="str">
        <f t="shared" si="48"/>
        <v/>
      </c>
      <c r="AW77" s="31" t="str">
        <f t="shared" si="48"/>
        <v/>
      </c>
      <c r="AX77" s="32" t="str">
        <f t="shared" si="48"/>
        <v/>
      </c>
      <c r="BB77" s="67" t="str">
        <f t="shared" si="45"/>
        <v/>
      </c>
      <c r="BC77" s="67" t="str">
        <f t="shared" si="45"/>
        <v/>
      </c>
      <c r="BD77" s="60" t="str">
        <f>IFERROR(INDEX($E$3:$AI$3,MATCH($AN77&amp;BD$8&amp;ROW(N10),$E$10:$AI$10,0))&amp;"/"&amp;$AN$3,"")</f>
        <v/>
      </c>
    </row>
    <row r="78" spans="39:56" ht="18.75" thickBot="1">
      <c r="AM78" s="51" t="e">
        <f t="shared" si="44"/>
        <v>#REF!</v>
      </c>
      <c r="AN78" s="28" t="e">
        <f t="shared" si="46"/>
        <v>#REF!</v>
      </c>
      <c r="AO78" s="26"/>
      <c r="AP78" s="52" t="str">
        <f t="shared" si="47"/>
        <v/>
      </c>
      <c r="AQ78" s="53" t="str">
        <f t="shared" si="47"/>
        <v/>
      </c>
      <c r="AR78" s="53" t="str">
        <f t="shared" si="47"/>
        <v/>
      </c>
      <c r="AS78" s="52" t="str">
        <f t="shared" si="47"/>
        <v/>
      </c>
      <c r="AT78" s="53" t="str">
        <f t="shared" si="47"/>
        <v/>
      </c>
      <c r="AU78" s="53" t="str">
        <f t="shared" si="47"/>
        <v/>
      </c>
      <c r="AV78" s="52" t="str">
        <f t="shared" si="48"/>
        <v/>
      </c>
      <c r="AW78" s="53" t="str">
        <f t="shared" si="48"/>
        <v/>
      </c>
      <c r="AX78" s="54" t="str">
        <f t="shared" si="48"/>
        <v/>
      </c>
      <c r="AZ78" s="26" t="str">
        <f>AP78</f>
        <v/>
      </c>
      <c r="BA78" s="29"/>
      <c r="BB78" s="67" t="str">
        <f t="shared" si="45"/>
        <v/>
      </c>
      <c r="BC78" s="67" t="str">
        <f t="shared" si="45"/>
        <v/>
      </c>
      <c r="BD78" s="61" t="str">
        <f>IFERROR(INDEX($E$3:$AI$3,MATCH($AN78&amp;BD$8&amp;ROW(N11),$E$10:$AI$10,0))&amp;"/"&amp;$AN$3,"")</f>
        <v/>
      </c>
    </row>
    <row r="79" spans="39:56" ht="15.75" thickBot="1">
      <c r="BA79" s="22"/>
      <c r="BB79" s="67" t="str">
        <f t="shared" si="45"/>
        <v/>
      </c>
      <c r="BC79" s="67" t="str">
        <f t="shared" si="45"/>
        <v/>
      </c>
    </row>
    <row r="80" spans="39:56" ht="20.25">
      <c r="AM80" s="39"/>
      <c r="AN80" s="40"/>
      <c r="AO80" s="36"/>
      <c r="AP80" s="45" t="s">
        <v>247</v>
      </c>
      <c r="AQ80" s="37" t="s">
        <v>248</v>
      </c>
      <c r="AR80" s="37" t="s">
        <v>249</v>
      </c>
      <c r="AS80" s="45" t="s">
        <v>250</v>
      </c>
      <c r="AT80" s="37" t="s">
        <v>251</v>
      </c>
      <c r="AU80" s="37" t="s">
        <v>252</v>
      </c>
      <c r="AV80" s="45" t="s">
        <v>253</v>
      </c>
      <c r="AW80" s="37" t="s">
        <v>254</v>
      </c>
      <c r="AX80" s="38" t="s">
        <v>255</v>
      </c>
      <c r="AZ80" s="35" t="str">
        <f>$AN$3&amp;" Total"</f>
        <v>7/2021 Total</v>
      </c>
      <c r="BA80" s="47"/>
      <c r="BB80" s="66" t="str">
        <f>IF(COUNTBLANK(AP81:AX81)=9,"","Leave")</f>
        <v/>
      </c>
      <c r="BC80" s="66" t="str">
        <f>IFERROR(VLOOKUP(AM81,#REF!,4,FALSE),"")</f>
        <v/>
      </c>
      <c r="BD80" s="58" t="s">
        <v>256</v>
      </c>
    </row>
    <row r="81" spans="39:56" ht="20.25">
      <c r="AM81" s="25" t="e">
        <f>B11</f>
        <v>#REF!</v>
      </c>
      <c r="AN81" s="34" t="e">
        <f>D11</f>
        <v>#REF!</v>
      </c>
      <c r="AP81" s="46" t="str">
        <f t="shared" ref="AP81:AU86" si="49">IFERROR(INDEX($E$3:$AI$3,MATCH($AN81&amp;AP$8&amp;ROW(A1),$E$11:$AI$11,0))&amp;"/"&amp;$AN$3,"")</f>
        <v/>
      </c>
      <c r="AQ81" s="31" t="str">
        <f t="shared" si="49"/>
        <v/>
      </c>
      <c r="AR81" s="31" t="str">
        <f t="shared" si="49"/>
        <v/>
      </c>
      <c r="AS81" s="46" t="str">
        <f t="shared" si="49"/>
        <v/>
      </c>
      <c r="AT81" s="31" t="str">
        <f t="shared" si="49"/>
        <v/>
      </c>
      <c r="AU81" s="31" t="str">
        <f t="shared" si="49"/>
        <v/>
      </c>
      <c r="AV81" s="46" t="str">
        <f t="shared" ref="AV81:AX86" si="50">IFERROR(INDEX($E$3:$AI$3,MATCH($AN81&amp;AV$8&amp;ROW(G1),$E$11:$AI$11,0))&amp;"/"&amp;$AN$3,"")</f>
        <v/>
      </c>
      <c r="AW81" s="31" t="str">
        <f t="shared" si="50"/>
        <v/>
      </c>
      <c r="AX81" s="32" t="str">
        <f t="shared" si="50"/>
        <v/>
      </c>
      <c r="AZ81" s="48" t="s">
        <v>257</v>
      </c>
      <c r="BA81" s="49">
        <f>COUNTA(AP81:AP90)-COUNTBLANK(AP81:AP90)+(COUNTA(AQ81:AQ90)-COUNTBLANK(AQ81:AQ90))*0.5+(COUNTA(AR81:AR90)-COUNTBLANK(AR81:AR90))*0.5</f>
        <v>0</v>
      </c>
      <c r="BB81" s="67" t="str">
        <f>BB80</f>
        <v/>
      </c>
      <c r="BC81" s="67" t="str">
        <f>BC80</f>
        <v/>
      </c>
      <c r="BD81" s="59" t="str">
        <f t="shared" ref="BD81:BD86" si="51">IFERROR(INDEX($E$3:$AI$3,MATCH($AN81&amp;BD$8&amp;ROW(N1),$E$11:$AI$11,0))&amp;"/"&amp;$AN$3,"")</f>
        <v/>
      </c>
    </row>
    <row r="82" spans="39:56" ht="18.75">
      <c r="AM82" s="30" t="e">
        <f t="shared" ref="AM82:AM90" si="52">AM81</f>
        <v>#REF!</v>
      </c>
      <c r="AN82" s="27" t="e">
        <f>AN81</f>
        <v>#REF!</v>
      </c>
      <c r="AP82" s="46" t="str">
        <f t="shared" si="49"/>
        <v/>
      </c>
      <c r="AQ82" s="31" t="str">
        <f t="shared" si="49"/>
        <v/>
      </c>
      <c r="AR82" s="31" t="str">
        <f t="shared" si="49"/>
        <v/>
      </c>
      <c r="AS82" s="46" t="str">
        <f t="shared" si="49"/>
        <v/>
      </c>
      <c r="AT82" s="31" t="str">
        <f t="shared" si="49"/>
        <v/>
      </c>
      <c r="AU82" s="31" t="str">
        <f t="shared" si="49"/>
        <v/>
      </c>
      <c r="AV82" s="46" t="str">
        <f t="shared" si="50"/>
        <v/>
      </c>
      <c r="AW82" s="31" t="str">
        <f t="shared" si="50"/>
        <v/>
      </c>
      <c r="AX82" s="32" t="str">
        <f t="shared" si="50"/>
        <v/>
      </c>
      <c r="AZ82" s="48" t="s">
        <v>258</v>
      </c>
      <c r="BA82" s="49">
        <f>COUNTA(AS81:AS90)-COUNTBLANK(AS81:AS90)+(COUNTA(AT81:AT90)-COUNTBLANK(AT81:AT90))*0.5+(COUNTA(AU81:AU90)-COUNTBLANK(AU81:AU90))*0.5</f>
        <v>0</v>
      </c>
      <c r="BB82" s="67" t="str">
        <f t="shared" ref="BB82:BC91" si="53">BB81</f>
        <v/>
      </c>
      <c r="BC82" s="67" t="str">
        <f t="shared" si="53"/>
        <v/>
      </c>
      <c r="BD82" s="60" t="str">
        <f t="shared" si="51"/>
        <v/>
      </c>
    </row>
    <row r="83" spans="39:56" ht="18.75">
      <c r="AM83" s="30" t="e">
        <f t="shared" si="52"/>
        <v>#REF!</v>
      </c>
      <c r="AN83" s="27" t="e">
        <f t="shared" ref="AN83:AN90" si="54">AN82</f>
        <v>#REF!</v>
      </c>
      <c r="AP83" s="46" t="str">
        <f t="shared" si="49"/>
        <v/>
      </c>
      <c r="AQ83" s="31" t="str">
        <f t="shared" si="49"/>
        <v/>
      </c>
      <c r="AR83" s="31" t="str">
        <f t="shared" si="49"/>
        <v/>
      </c>
      <c r="AS83" s="46" t="str">
        <f t="shared" si="49"/>
        <v/>
      </c>
      <c r="AT83" s="31" t="str">
        <f t="shared" si="49"/>
        <v/>
      </c>
      <c r="AU83" s="31" t="str">
        <f t="shared" si="49"/>
        <v/>
      </c>
      <c r="AV83" s="46" t="str">
        <f t="shared" si="50"/>
        <v/>
      </c>
      <c r="AW83" s="31" t="str">
        <f t="shared" si="50"/>
        <v/>
      </c>
      <c r="AX83" s="32" t="str">
        <f t="shared" si="50"/>
        <v/>
      </c>
      <c r="AZ83" s="48" t="s">
        <v>259</v>
      </c>
      <c r="BA83" s="49">
        <f>COUNTA(AV81:AV90)-COUNTBLANK(AV81:AV90)+(COUNTA(AW81:AW90)-COUNTBLANK(AW81:AW90))*0.5+(COUNTA(AX81:AX90)-COUNTBLANK(AX81:AX90))*0.5</f>
        <v>0</v>
      </c>
      <c r="BB83" s="67" t="str">
        <f t="shared" si="53"/>
        <v/>
      </c>
      <c r="BC83" s="67" t="str">
        <f t="shared" si="53"/>
        <v/>
      </c>
      <c r="BD83" s="60" t="str">
        <f t="shared" si="51"/>
        <v/>
      </c>
    </row>
    <row r="84" spans="39:56" ht="20.25">
      <c r="AM84" s="30" t="e">
        <f t="shared" si="52"/>
        <v>#REF!</v>
      </c>
      <c r="AN84" s="27" t="e">
        <f t="shared" si="54"/>
        <v>#REF!</v>
      </c>
      <c r="AP84" s="46" t="str">
        <f t="shared" si="49"/>
        <v/>
      </c>
      <c r="AQ84" s="31" t="str">
        <f t="shared" si="49"/>
        <v/>
      </c>
      <c r="AR84" s="31" t="str">
        <f t="shared" si="49"/>
        <v/>
      </c>
      <c r="AS84" s="46" t="str">
        <f t="shared" si="49"/>
        <v/>
      </c>
      <c r="AT84" s="31" t="str">
        <f t="shared" si="49"/>
        <v/>
      </c>
      <c r="AU84" s="31" t="str">
        <f t="shared" si="49"/>
        <v/>
      </c>
      <c r="AV84" s="46" t="str">
        <f t="shared" si="50"/>
        <v/>
      </c>
      <c r="AW84" s="31" t="str">
        <f t="shared" si="50"/>
        <v/>
      </c>
      <c r="AX84" s="32" t="str">
        <f t="shared" si="50"/>
        <v/>
      </c>
      <c r="AZ84" s="33"/>
      <c r="BA84" s="23"/>
      <c r="BB84" s="67" t="str">
        <f t="shared" si="53"/>
        <v/>
      </c>
      <c r="BC84" s="67" t="str">
        <f t="shared" si="53"/>
        <v/>
      </c>
      <c r="BD84" s="60" t="str">
        <f t="shared" si="51"/>
        <v/>
      </c>
    </row>
    <row r="85" spans="39:56" ht="18">
      <c r="AM85" s="30" t="e">
        <f t="shared" si="52"/>
        <v>#REF!</v>
      </c>
      <c r="AN85" s="27" t="e">
        <f t="shared" si="54"/>
        <v>#REF!</v>
      </c>
      <c r="AP85" s="46" t="str">
        <f t="shared" si="49"/>
        <v/>
      </c>
      <c r="AQ85" s="31" t="str">
        <f t="shared" si="49"/>
        <v/>
      </c>
      <c r="AR85" s="31" t="str">
        <f t="shared" si="49"/>
        <v/>
      </c>
      <c r="AS85" s="46" t="str">
        <f t="shared" si="49"/>
        <v/>
      </c>
      <c r="AT85" s="31" t="str">
        <f t="shared" si="49"/>
        <v/>
      </c>
      <c r="AU85" s="31" t="str">
        <f t="shared" si="49"/>
        <v/>
      </c>
      <c r="AV85" s="46" t="str">
        <f t="shared" si="50"/>
        <v/>
      </c>
      <c r="AW85" s="31" t="str">
        <f t="shared" si="50"/>
        <v/>
      </c>
      <c r="AX85" s="32" t="str">
        <f t="shared" si="50"/>
        <v/>
      </c>
      <c r="AZ85" s="33"/>
      <c r="BB85" s="67" t="str">
        <f t="shared" si="53"/>
        <v/>
      </c>
      <c r="BC85" s="67" t="str">
        <f t="shared" si="53"/>
        <v/>
      </c>
      <c r="BD85" s="60" t="str">
        <f t="shared" si="51"/>
        <v/>
      </c>
    </row>
    <row r="86" spans="39:56" ht="20.25">
      <c r="AM86" s="30" t="e">
        <f t="shared" si="52"/>
        <v>#REF!</v>
      </c>
      <c r="AN86" s="27" t="e">
        <f t="shared" si="54"/>
        <v>#REF!</v>
      </c>
      <c r="AP86" s="46" t="str">
        <f t="shared" si="49"/>
        <v/>
      </c>
      <c r="AQ86" s="31" t="str">
        <f t="shared" si="49"/>
        <v/>
      </c>
      <c r="AR86" s="31" t="str">
        <f t="shared" si="49"/>
        <v/>
      </c>
      <c r="AS86" s="46" t="str">
        <f t="shared" si="49"/>
        <v/>
      </c>
      <c r="AT86" s="31" t="str">
        <f t="shared" si="49"/>
        <v/>
      </c>
      <c r="AU86" s="31" t="str">
        <f t="shared" si="49"/>
        <v/>
      </c>
      <c r="AV86" s="46" t="str">
        <f t="shared" si="50"/>
        <v/>
      </c>
      <c r="AW86" s="31" t="str">
        <f t="shared" si="50"/>
        <v/>
      </c>
      <c r="AX86" s="32" t="str">
        <f t="shared" si="50"/>
        <v/>
      </c>
      <c r="AZ86" s="23" t="s">
        <v>260</v>
      </c>
      <c r="BB86" s="67" t="str">
        <f t="shared" si="53"/>
        <v/>
      </c>
      <c r="BC86" s="67" t="str">
        <f t="shared" si="53"/>
        <v/>
      </c>
      <c r="BD86" s="60" t="str">
        <f t="shared" si="51"/>
        <v/>
      </c>
    </row>
    <row r="87" spans="39:56" ht="18">
      <c r="AM87" s="30" t="e">
        <f t="shared" si="52"/>
        <v>#REF!</v>
      </c>
      <c r="AN87" s="27" t="e">
        <f t="shared" si="54"/>
        <v>#REF!</v>
      </c>
      <c r="AP87" s="46" t="str">
        <f t="shared" ref="AP87:AU90" si="55">IFERROR(INDEX($E$3:$AI$3,MATCH($AN87&amp;AP$8&amp;ROW(A8),$E$11:$AI$11,0))&amp;"/"&amp;$AN$3,"")</f>
        <v/>
      </c>
      <c r="AQ87" s="31" t="str">
        <f t="shared" si="55"/>
        <v/>
      </c>
      <c r="AR87" s="31" t="str">
        <f t="shared" si="55"/>
        <v/>
      </c>
      <c r="AS87" s="46" t="str">
        <f t="shared" si="55"/>
        <v/>
      </c>
      <c r="AT87" s="31" t="str">
        <f t="shared" si="55"/>
        <v/>
      </c>
      <c r="AU87" s="31" t="str">
        <f t="shared" si="55"/>
        <v/>
      </c>
      <c r="AV87" s="46" t="str">
        <f t="shared" ref="AV87:AX90" si="56">IFERROR(INDEX($E$3:$AI$3,MATCH($AN87&amp;AV$8&amp;ROW(G8),$E$11:$AI$11,0))&amp;"/"&amp;$AN$3,"")</f>
        <v/>
      </c>
      <c r="AW87" s="31" t="str">
        <f t="shared" si="56"/>
        <v/>
      </c>
      <c r="AX87" s="32" t="str">
        <f t="shared" si="56"/>
        <v/>
      </c>
      <c r="AZ87" s="33"/>
      <c r="BB87" s="67" t="str">
        <f t="shared" si="53"/>
        <v/>
      </c>
      <c r="BC87" s="67" t="str">
        <f t="shared" si="53"/>
        <v/>
      </c>
      <c r="BD87" s="60" t="str">
        <f>IFERROR(INDEX($E$3:$AI$3,MATCH($AN87&amp;BD$8&amp;ROW(N8),$E$11:$AI$11,0))&amp;"/"&amp;$AN$3,"")</f>
        <v/>
      </c>
    </row>
    <row r="88" spans="39:56" ht="18">
      <c r="AM88" s="30" t="e">
        <f t="shared" si="52"/>
        <v>#REF!</v>
      </c>
      <c r="AN88" s="27" t="e">
        <f t="shared" si="54"/>
        <v>#REF!</v>
      </c>
      <c r="AP88" s="46" t="str">
        <f t="shared" si="55"/>
        <v/>
      </c>
      <c r="AQ88" s="31" t="str">
        <f t="shared" si="55"/>
        <v/>
      </c>
      <c r="AR88" s="31" t="str">
        <f t="shared" si="55"/>
        <v/>
      </c>
      <c r="AS88" s="46" t="str">
        <f t="shared" si="55"/>
        <v/>
      </c>
      <c r="AT88" s="31" t="str">
        <f t="shared" si="55"/>
        <v/>
      </c>
      <c r="AU88" s="31" t="str">
        <f t="shared" si="55"/>
        <v/>
      </c>
      <c r="AV88" s="46" t="str">
        <f t="shared" si="56"/>
        <v/>
      </c>
      <c r="AW88" s="31" t="str">
        <f t="shared" si="56"/>
        <v/>
      </c>
      <c r="AX88" s="32" t="str">
        <f t="shared" si="56"/>
        <v/>
      </c>
      <c r="BB88" s="67" t="str">
        <f t="shared" si="53"/>
        <v/>
      </c>
      <c r="BC88" s="67" t="str">
        <f t="shared" si="53"/>
        <v/>
      </c>
      <c r="BD88" s="60" t="str">
        <f>IFERROR(INDEX($E$3:$AI$3,MATCH($AN88&amp;BD$8&amp;ROW(N9),$E$11:$AI$11,0))&amp;"/"&amp;$AN$3,"")</f>
        <v/>
      </c>
    </row>
    <row r="89" spans="39:56" ht="18">
      <c r="AM89" s="30" t="e">
        <f t="shared" si="52"/>
        <v>#REF!</v>
      </c>
      <c r="AN89" s="27" t="e">
        <f t="shared" si="54"/>
        <v>#REF!</v>
      </c>
      <c r="AP89" s="46" t="str">
        <f t="shared" si="55"/>
        <v/>
      </c>
      <c r="AQ89" s="31" t="str">
        <f t="shared" si="55"/>
        <v/>
      </c>
      <c r="AR89" s="31" t="str">
        <f t="shared" si="55"/>
        <v/>
      </c>
      <c r="AS89" s="46" t="str">
        <f t="shared" si="55"/>
        <v/>
      </c>
      <c r="AT89" s="31" t="str">
        <f t="shared" si="55"/>
        <v/>
      </c>
      <c r="AU89" s="31" t="str">
        <f t="shared" si="55"/>
        <v/>
      </c>
      <c r="AV89" s="46" t="str">
        <f t="shared" si="56"/>
        <v/>
      </c>
      <c r="AW89" s="31" t="str">
        <f t="shared" si="56"/>
        <v/>
      </c>
      <c r="AX89" s="32" t="str">
        <f t="shared" si="56"/>
        <v/>
      </c>
      <c r="BB89" s="67" t="str">
        <f t="shared" si="53"/>
        <v/>
      </c>
      <c r="BC89" s="67" t="str">
        <f t="shared" si="53"/>
        <v/>
      </c>
      <c r="BD89" s="60" t="str">
        <f>IFERROR(INDEX($E$3:$AI$3,MATCH($AN89&amp;BD$8&amp;ROW(N10),$E$11:$AI$11,0))&amp;"/"&amp;$AN$3,"")</f>
        <v/>
      </c>
    </row>
    <row r="90" spans="39:56" ht="18.75" thickBot="1">
      <c r="AM90" s="51" t="e">
        <f t="shared" si="52"/>
        <v>#REF!</v>
      </c>
      <c r="AN90" s="28" t="e">
        <f t="shared" si="54"/>
        <v>#REF!</v>
      </c>
      <c r="AO90" s="26"/>
      <c r="AP90" s="52" t="str">
        <f t="shared" si="55"/>
        <v/>
      </c>
      <c r="AQ90" s="53" t="str">
        <f t="shared" si="55"/>
        <v/>
      </c>
      <c r="AR90" s="53" t="str">
        <f t="shared" si="55"/>
        <v/>
      </c>
      <c r="AS90" s="52" t="str">
        <f t="shared" si="55"/>
        <v/>
      </c>
      <c r="AT90" s="53" t="str">
        <f t="shared" si="55"/>
        <v/>
      </c>
      <c r="AU90" s="53" t="str">
        <f t="shared" si="55"/>
        <v/>
      </c>
      <c r="AV90" s="52" t="str">
        <f t="shared" si="56"/>
        <v/>
      </c>
      <c r="AW90" s="53" t="str">
        <f t="shared" si="56"/>
        <v/>
      </c>
      <c r="AX90" s="54" t="str">
        <f t="shared" si="56"/>
        <v/>
      </c>
      <c r="AZ90" s="26" t="str">
        <f>AP90</f>
        <v/>
      </c>
      <c r="BA90" s="29"/>
      <c r="BB90" s="67" t="str">
        <f t="shared" si="53"/>
        <v/>
      </c>
      <c r="BC90" s="67" t="str">
        <f t="shared" si="53"/>
        <v/>
      </c>
      <c r="BD90" s="61" t="str">
        <f>IFERROR(INDEX($E$3:$AI$3,MATCH($AN90&amp;BD$8&amp;ROW(N11),$E$11:$AI$11,0))&amp;"/"&amp;$AN$3,"")</f>
        <v/>
      </c>
    </row>
    <row r="91" spans="39:56" ht="15.75" thickBot="1">
      <c r="BA91" s="22"/>
      <c r="BB91" s="67" t="str">
        <f t="shared" si="53"/>
        <v/>
      </c>
      <c r="BC91" s="67" t="str">
        <f t="shared" si="53"/>
        <v/>
      </c>
    </row>
    <row r="92" spans="39:56" ht="20.25">
      <c r="AM92" s="39"/>
      <c r="AN92" s="40"/>
      <c r="AO92" s="36"/>
      <c r="AP92" s="45" t="s">
        <v>247</v>
      </c>
      <c r="AQ92" s="37" t="s">
        <v>248</v>
      </c>
      <c r="AR92" s="37" t="s">
        <v>249</v>
      </c>
      <c r="AS92" s="45" t="s">
        <v>250</v>
      </c>
      <c r="AT92" s="37" t="s">
        <v>251</v>
      </c>
      <c r="AU92" s="37" t="s">
        <v>252</v>
      </c>
      <c r="AV92" s="45" t="s">
        <v>253</v>
      </c>
      <c r="AW92" s="37" t="s">
        <v>254</v>
      </c>
      <c r="AX92" s="38" t="s">
        <v>255</v>
      </c>
      <c r="AZ92" s="35" t="str">
        <f>$AN$3&amp;" Total"</f>
        <v>7/2021 Total</v>
      </c>
      <c r="BA92" s="47"/>
      <c r="BB92" s="66" t="str">
        <f>IF(COUNTBLANK(AP93:AX93)=9,"","Leave")</f>
        <v/>
      </c>
      <c r="BC92" s="66" t="str">
        <f>IFERROR(VLOOKUP(AM93,#REF!,4,FALSE),"")</f>
        <v/>
      </c>
      <c r="BD92" s="58" t="s">
        <v>256</v>
      </c>
    </row>
    <row r="93" spans="39:56" ht="20.25">
      <c r="AM93" s="25" t="e">
        <f>B12</f>
        <v>#REF!</v>
      </c>
      <c r="AN93" s="34" t="e">
        <f>D12</f>
        <v>#REF!</v>
      </c>
      <c r="AP93" s="46" t="str">
        <f t="shared" ref="AP93:AU98" si="57">IFERROR(INDEX($E$3:$AI$3,MATCH($AN93&amp;AP$8&amp;ROW(A1),$E$12:$AI$12,0))&amp;"/"&amp;$AN$3,"")</f>
        <v/>
      </c>
      <c r="AQ93" s="31" t="str">
        <f t="shared" si="57"/>
        <v/>
      </c>
      <c r="AR93" s="31" t="str">
        <f t="shared" si="57"/>
        <v/>
      </c>
      <c r="AS93" s="46" t="str">
        <f t="shared" si="57"/>
        <v/>
      </c>
      <c r="AT93" s="31" t="str">
        <f t="shared" si="57"/>
        <v/>
      </c>
      <c r="AU93" s="31" t="str">
        <f t="shared" si="57"/>
        <v/>
      </c>
      <c r="AV93" s="46" t="str">
        <f t="shared" ref="AV93:AX98" si="58">IFERROR(INDEX($E$3:$AI$3,MATCH($AN93&amp;AV$8&amp;ROW(G1),$E$12:$AI$12,0))&amp;"/"&amp;$AN$3,"")</f>
        <v/>
      </c>
      <c r="AW93" s="31" t="str">
        <f t="shared" si="58"/>
        <v/>
      </c>
      <c r="AX93" s="32" t="str">
        <f t="shared" si="58"/>
        <v/>
      </c>
      <c r="AZ93" s="48" t="s">
        <v>257</v>
      </c>
      <c r="BA93" s="49">
        <f>COUNTA(AP93:AP102)-COUNTBLANK(AP93:AP102)+(COUNTA(AQ93:AQ102)-COUNTBLANK(AQ93:AQ102))*0.5+(COUNTA(AR93:AR102)-COUNTBLANK(AR93:AR102))*0.5</f>
        <v>0</v>
      </c>
      <c r="BB93" s="67" t="str">
        <f>BB92</f>
        <v/>
      </c>
      <c r="BC93" s="67" t="str">
        <f>BC92</f>
        <v/>
      </c>
      <c r="BD93" s="59" t="str">
        <f t="shared" ref="BD93:BD98" si="59">IFERROR(INDEX($E$3:$AI$3,MATCH($AN93&amp;BD$8&amp;ROW(N1),$E$12:$AI$12,0))&amp;"/"&amp;$AN$3,"")</f>
        <v/>
      </c>
    </row>
    <row r="94" spans="39:56" ht="18.75">
      <c r="AM94" s="30" t="e">
        <f t="shared" ref="AM94:AM102" si="60">AM93</f>
        <v>#REF!</v>
      </c>
      <c r="AN94" s="27" t="e">
        <f>AN93</f>
        <v>#REF!</v>
      </c>
      <c r="AP94" s="46" t="str">
        <f t="shared" si="57"/>
        <v/>
      </c>
      <c r="AQ94" s="31" t="str">
        <f t="shared" si="57"/>
        <v/>
      </c>
      <c r="AR94" s="31" t="str">
        <f t="shared" si="57"/>
        <v/>
      </c>
      <c r="AS94" s="46" t="str">
        <f t="shared" si="57"/>
        <v/>
      </c>
      <c r="AT94" s="31" t="str">
        <f t="shared" si="57"/>
        <v/>
      </c>
      <c r="AU94" s="31" t="str">
        <f t="shared" si="57"/>
        <v/>
      </c>
      <c r="AV94" s="46" t="str">
        <f t="shared" si="58"/>
        <v/>
      </c>
      <c r="AW94" s="31" t="str">
        <f t="shared" si="58"/>
        <v/>
      </c>
      <c r="AX94" s="32" t="str">
        <f t="shared" si="58"/>
        <v/>
      </c>
      <c r="AZ94" s="48" t="s">
        <v>258</v>
      </c>
      <c r="BA94" s="49">
        <f>COUNTA(AS93:AS102)-COUNTBLANK(AS93:AS102)+(COUNTA(AT93:AT102)-COUNTBLANK(AT93:AT102))*0.5+(COUNTA(AU93:AU102)-COUNTBLANK(AU93:AU102))*0.5</f>
        <v>0</v>
      </c>
      <c r="BB94" s="67" t="str">
        <f t="shared" ref="BB94:BC103" si="61">BB93</f>
        <v/>
      </c>
      <c r="BC94" s="67" t="str">
        <f t="shared" si="61"/>
        <v/>
      </c>
      <c r="BD94" s="60" t="str">
        <f t="shared" si="59"/>
        <v/>
      </c>
    </row>
    <row r="95" spans="39:56" ht="18.75">
      <c r="AM95" s="30" t="e">
        <f t="shared" si="60"/>
        <v>#REF!</v>
      </c>
      <c r="AN95" s="27" t="e">
        <f t="shared" ref="AN95:AN102" si="62">AN94</f>
        <v>#REF!</v>
      </c>
      <c r="AP95" s="46" t="str">
        <f t="shared" si="57"/>
        <v/>
      </c>
      <c r="AQ95" s="31" t="str">
        <f t="shared" si="57"/>
        <v/>
      </c>
      <c r="AR95" s="31" t="str">
        <f t="shared" si="57"/>
        <v/>
      </c>
      <c r="AS95" s="46" t="str">
        <f t="shared" si="57"/>
        <v/>
      </c>
      <c r="AT95" s="31" t="str">
        <f t="shared" si="57"/>
        <v/>
      </c>
      <c r="AU95" s="31" t="str">
        <f t="shared" si="57"/>
        <v/>
      </c>
      <c r="AV95" s="46" t="str">
        <f t="shared" si="58"/>
        <v/>
      </c>
      <c r="AW95" s="31" t="str">
        <f t="shared" si="58"/>
        <v/>
      </c>
      <c r="AX95" s="32" t="str">
        <f t="shared" si="58"/>
        <v/>
      </c>
      <c r="AZ95" s="48" t="s">
        <v>259</v>
      </c>
      <c r="BA95" s="49">
        <f>COUNTA(AV93:AV102)-COUNTBLANK(AV93:AV102)+(COUNTA(AW93:AW102)-COUNTBLANK(AW93:AW102))*0.5+(COUNTA(AX93:AX102)-COUNTBLANK(AX93:AX102))*0.5</f>
        <v>0</v>
      </c>
      <c r="BB95" s="67" t="str">
        <f t="shared" si="61"/>
        <v/>
      </c>
      <c r="BC95" s="67" t="str">
        <f t="shared" si="61"/>
        <v/>
      </c>
      <c r="BD95" s="60" t="str">
        <f t="shared" si="59"/>
        <v/>
      </c>
    </row>
    <row r="96" spans="39:56" ht="20.25">
      <c r="AM96" s="30" t="e">
        <f t="shared" si="60"/>
        <v>#REF!</v>
      </c>
      <c r="AN96" s="27" t="e">
        <f t="shared" si="62"/>
        <v>#REF!</v>
      </c>
      <c r="AP96" s="46" t="str">
        <f t="shared" si="57"/>
        <v/>
      </c>
      <c r="AQ96" s="31" t="str">
        <f t="shared" si="57"/>
        <v/>
      </c>
      <c r="AR96" s="31" t="str">
        <f t="shared" si="57"/>
        <v/>
      </c>
      <c r="AS96" s="46" t="str">
        <f t="shared" si="57"/>
        <v/>
      </c>
      <c r="AT96" s="31" t="str">
        <f t="shared" si="57"/>
        <v/>
      </c>
      <c r="AU96" s="31" t="str">
        <f t="shared" si="57"/>
        <v/>
      </c>
      <c r="AV96" s="46" t="str">
        <f t="shared" si="58"/>
        <v/>
      </c>
      <c r="AW96" s="31" t="str">
        <f t="shared" si="58"/>
        <v/>
      </c>
      <c r="AX96" s="32" t="str">
        <f t="shared" si="58"/>
        <v/>
      </c>
      <c r="AZ96" s="33"/>
      <c r="BA96" s="23"/>
      <c r="BB96" s="67" t="str">
        <f t="shared" si="61"/>
        <v/>
      </c>
      <c r="BC96" s="67" t="str">
        <f t="shared" si="61"/>
        <v/>
      </c>
      <c r="BD96" s="60" t="str">
        <f t="shared" si="59"/>
        <v/>
      </c>
    </row>
    <row r="97" spans="39:56" ht="18">
      <c r="AM97" s="30" t="e">
        <f t="shared" si="60"/>
        <v>#REF!</v>
      </c>
      <c r="AN97" s="27" t="e">
        <f t="shared" si="62"/>
        <v>#REF!</v>
      </c>
      <c r="AP97" s="46" t="str">
        <f t="shared" si="57"/>
        <v/>
      </c>
      <c r="AQ97" s="31" t="str">
        <f t="shared" si="57"/>
        <v/>
      </c>
      <c r="AR97" s="31" t="str">
        <f t="shared" si="57"/>
        <v/>
      </c>
      <c r="AS97" s="46" t="str">
        <f t="shared" si="57"/>
        <v/>
      </c>
      <c r="AT97" s="31" t="str">
        <f t="shared" si="57"/>
        <v/>
      </c>
      <c r="AU97" s="31" t="str">
        <f t="shared" si="57"/>
        <v/>
      </c>
      <c r="AV97" s="46" t="str">
        <f t="shared" si="58"/>
        <v/>
      </c>
      <c r="AW97" s="31" t="str">
        <f t="shared" si="58"/>
        <v/>
      </c>
      <c r="AX97" s="32" t="str">
        <f t="shared" si="58"/>
        <v/>
      </c>
      <c r="AZ97" s="33"/>
      <c r="BB97" s="67" t="str">
        <f t="shared" si="61"/>
        <v/>
      </c>
      <c r="BC97" s="67" t="str">
        <f t="shared" si="61"/>
        <v/>
      </c>
      <c r="BD97" s="60" t="str">
        <f t="shared" si="59"/>
        <v/>
      </c>
    </row>
    <row r="98" spans="39:56" ht="20.25">
      <c r="AM98" s="30" t="e">
        <f t="shared" si="60"/>
        <v>#REF!</v>
      </c>
      <c r="AN98" s="27" t="e">
        <f t="shared" si="62"/>
        <v>#REF!</v>
      </c>
      <c r="AP98" s="46" t="str">
        <f t="shared" si="57"/>
        <v/>
      </c>
      <c r="AQ98" s="31" t="str">
        <f t="shared" si="57"/>
        <v/>
      </c>
      <c r="AR98" s="31" t="str">
        <f t="shared" si="57"/>
        <v/>
      </c>
      <c r="AS98" s="46" t="str">
        <f t="shared" si="57"/>
        <v/>
      </c>
      <c r="AT98" s="31" t="str">
        <f t="shared" si="57"/>
        <v/>
      </c>
      <c r="AU98" s="31" t="str">
        <f t="shared" si="57"/>
        <v/>
      </c>
      <c r="AV98" s="46" t="str">
        <f t="shared" si="58"/>
        <v/>
      </c>
      <c r="AW98" s="31" t="str">
        <f t="shared" si="58"/>
        <v/>
      </c>
      <c r="AX98" s="32" t="str">
        <f t="shared" si="58"/>
        <v/>
      </c>
      <c r="AZ98" s="23" t="s">
        <v>260</v>
      </c>
      <c r="BB98" s="67" t="str">
        <f t="shared" si="61"/>
        <v/>
      </c>
      <c r="BC98" s="67" t="str">
        <f t="shared" si="61"/>
        <v/>
      </c>
      <c r="BD98" s="60" t="str">
        <f t="shared" si="59"/>
        <v/>
      </c>
    </row>
    <row r="99" spans="39:56" ht="18">
      <c r="AM99" s="30" t="e">
        <f t="shared" si="60"/>
        <v>#REF!</v>
      </c>
      <c r="AN99" s="27" t="e">
        <f t="shared" si="62"/>
        <v>#REF!</v>
      </c>
      <c r="AP99" s="46" t="str">
        <f t="shared" ref="AP99:AU102" si="63">IFERROR(INDEX($E$3:$AI$3,MATCH($AN99&amp;AP$8&amp;ROW(A8),$E$12:$AI$12,0))&amp;"/"&amp;$AN$3,"")</f>
        <v/>
      </c>
      <c r="AQ99" s="31" t="str">
        <f t="shared" si="63"/>
        <v/>
      </c>
      <c r="AR99" s="31" t="str">
        <f t="shared" si="63"/>
        <v/>
      </c>
      <c r="AS99" s="46" t="str">
        <f t="shared" si="63"/>
        <v/>
      </c>
      <c r="AT99" s="31" t="str">
        <f t="shared" si="63"/>
        <v/>
      </c>
      <c r="AU99" s="31" t="str">
        <f t="shared" si="63"/>
        <v/>
      </c>
      <c r="AV99" s="46" t="str">
        <f t="shared" ref="AV99:AX102" si="64">IFERROR(INDEX($E$3:$AI$3,MATCH($AN99&amp;AV$8&amp;ROW(G8),$E$12:$AI$12,0))&amp;"/"&amp;$AN$3,"")</f>
        <v/>
      </c>
      <c r="AW99" s="31" t="str">
        <f t="shared" si="64"/>
        <v/>
      </c>
      <c r="AX99" s="32" t="str">
        <f t="shared" si="64"/>
        <v/>
      </c>
      <c r="AZ99" s="33"/>
      <c r="BB99" s="67" t="str">
        <f t="shared" si="61"/>
        <v/>
      </c>
      <c r="BC99" s="67" t="str">
        <f t="shared" si="61"/>
        <v/>
      </c>
      <c r="BD99" s="60" t="str">
        <f>IFERROR(INDEX($E$3:$AI$3,MATCH($AN99&amp;BD$8&amp;ROW(N8),$E$12:$AI$12,0))&amp;"/"&amp;$AN$3,"")</f>
        <v/>
      </c>
    </row>
    <row r="100" spans="39:56" ht="18">
      <c r="AM100" s="30" t="e">
        <f t="shared" si="60"/>
        <v>#REF!</v>
      </c>
      <c r="AN100" s="27" t="e">
        <f t="shared" si="62"/>
        <v>#REF!</v>
      </c>
      <c r="AP100" s="46" t="str">
        <f t="shared" si="63"/>
        <v/>
      </c>
      <c r="AQ100" s="31" t="str">
        <f t="shared" si="63"/>
        <v/>
      </c>
      <c r="AR100" s="31" t="str">
        <f t="shared" si="63"/>
        <v/>
      </c>
      <c r="AS100" s="46" t="str">
        <f t="shared" si="63"/>
        <v/>
      </c>
      <c r="AT100" s="31" t="str">
        <f t="shared" si="63"/>
        <v/>
      </c>
      <c r="AU100" s="31" t="str">
        <f t="shared" si="63"/>
        <v/>
      </c>
      <c r="AV100" s="46" t="str">
        <f t="shared" si="64"/>
        <v/>
      </c>
      <c r="AW100" s="31" t="str">
        <f t="shared" si="64"/>
        <v/>
      </c>
      <c r="AX100" s="32" t="str">
        <f t="shared" si="64"/>
        <v/>
      </c>
      <c r="BB100" s="67" t="str">
        <f t="shared" si="61"/>
        <v/>
      </c>
      <c r="BC100" s="67" t="str">
        <f t="shared" si="61"/>
        <v/>
      </c>
      <c r="BD100" s="60" t="str">
        <f>IFERROR(INDEX($E$3:$AI$3,MATCH($AN100&amp;BD$8&amp;ROW(N9),$E$12:$AI$12,0))&amp;"/"&amp;$AN$3,"")</f>
        <v/>
      </c>
    </row>
    <row r="101" spans="39:56" ht="18">
      <c r="AM101" s="30" t="e">
        <f t="shared" si="60"/>
        <v>#REF!</v>
      </c>
      <c r="AN101" s="27" t="e">
        <f t="shared" si="62"/>
        <v>#REF!</v>
      </c>
      <c r="AP101" s="46" t="str">
        <f t="shared" si="63"/>
        <v/>
      </c>
      <c r="AQ101" s="31" t="str">
        <f t="shared" si="63"/>
        <v/>
      </c>
      <c r="AR101" s="31" t="str">
        <f t="shared" si="63"/>
        <v/>
      </c>
      <c r="AS101" s="46" t="str">
        <f t="shared" si="63"/>
        <v/>
      </c>
      <c r="AT101" s="31" t="str">
        <f t="shared" si="63"/>
        <v/>
      </c>
      <c r="AU101" s="31" t="str">
        <f t="shared" si="63"/>
        <v/>
      </c>
      <c r="AV101" s="46" t="str">
        <f t="shared" si="64"/>
        <v/>
      </c>
      <c r="AW101" s="31" t="str">
        <f t="shared" si="64"/>
        <v/>
      </c>
      <c r="AX101" s="32" t="str">
        <f t="shared" si="64"/>
        <v/>
      </c>
      <c r="BB101" s="67" t="str">
        <f t="shared" si="61"/>
        <v/>
      </c>
      <c r="BC101" s="67" t="str">
        <f t="shared" si="61"/>
        <v/>
      </c>
      <c r="BD101" s="60" t="str">
        <f>IFERROR(INDEX($E$3:$AI$3,MATCH($AN101&amp;BD$8&amp;ROW(N10),$E$12:$AI$12,0))&amp;"/"&amp;$AN$3,"")</f>
        <v/>
      </c>
    </row>
    <row r="102" spans="39:56" ht="18.75" thickBot="1">
      <c r="AM102" s="51" t="e">
        <f t="shared" si="60"/>
        <v>#REF!</v>
      </c>
      <c r="AN102" s="28" t="e">
        <f t="shared" si="62"/>
        <v>#REF!</v>
      </c>
      <c r="AO102" s="26"/>
      <c r="AP102" s="52" t="str">
        <f t="shared" si="63"/>
        <v/>
      </c>
      <c r="AQ102" s="53" t="str">
        <f t="shared" si="63"/>
        <v/>
      </c>
      <c r="AR102" s="53" t="str">
        <f t="shared" si="63"/>
        <v/>
      </c>
      <c r="AS102" s="52" t="str">
        <f t="shared" si="63"/>
        <v/>
      </c>
      <c r="AT102" s="53" t="str">
        <f t="shared" si="63"/>
        <v/>
      </c>
      <c r="AU102" s="53" t="str">
        <f t="shared" si="63"/>
        <v/>
      </c>
      <c r="AV102" s="52" t="str">
        <f t="shared" si="64"/>
        <v/>
      </c>
      <c r="AW102" s="53" t="str">
        <f t="shared" si="64"/>
        <v/>
      </c>
      <c r="AX102" s="54" t="str">
        <f t="shared" si="64"/>
        <v/>
      </c>
      <c r="AZ102" s="26" t="str">
        <f>AP102</f>
        <v/>
      </c>
      <c r="BA102" s="29"/>
      <c r="BB102" s="67" t="str">
        <f t="shared" si="61"/>
        <v/>
      </c>
      <c r="BC102" s="67" t="str">
        <f t="shared" si="61"/>
        <v/>
      </c>
      <c r="BD102" s="61" t="str">
        <f>IFERROR(INDEX($E$3:$AI$3,MATCH($AN102&amp;BD$8&amp;ROW(N11),$E$12:$AI$12,0))&amp;"/"&amp;$AN$3,"")</f>
        <v/>
      </c>
    </row>
    <row r="103" spans="39:56" ht="15.75" thickBot="1">
      <c r="BA103" s="22"/>
      <c r="BB103" s="67" t="str">
        <f t="shared" si="61"/>
        <v/>
      </c>
      <c r="BC103" s="67" t="str">
        <f t="shared" si="61"/>
        <v/>
      </c>
    </row>
    <row r="104" spans="39:56" ht="20.25">
      <c r="AM104" s="39"/>
      <c r="AN104" s="40"/>
      <c r="AO104" s="36"/>
      <c r="AP104" s="45" t="s">
        <v>247</v>
      </c>
      <c r="AQ104" s="37" t="s">
        <v>248</v>
      </c>
      <c r="AR104" s="37" t="s">
        <v>249</v>
      </c>
      <c r="AS104" s="45" t="s">
        <v>250</v>
      </c>
      <c r="AT104" s="37" t="s">
        <v>251</v>
      </c>
      <c r="AU104" s="37" t="s">
        <v>252</v>
      </c>
      <c r="AV104" s="45" t="s">
        <v>253</v>
      </c>
      <c r="AW104" s="37" t="s">
        <v>254</v>
      </c>
      <c r="AX104" s="38" t="s">
        <v>255</v>
      </c>
      <c r="AZ104" s="35" t="str">
        <f>$AN$3&amp;" Total"</f>
        <v>7/2021 Total</v>
      </c>
      <c r="BA104" s="47"/>
      <c r="BB104" s="66" t="str">
        <f>IF(COUNTBLANK(AP105:AX105)=9,"","Leave")</f>
        <v/>
      </c>
      <c r="BC104" s="66" t="str">
        <f>IFERROR(VLOOKUP(AM105,#REF!,4,FALSE),"")</f>
        <v/>
      </c>
      <c r="BD104" s="58" t="s">
        <v>256</v>
      </c>
    </row>
    <row r="105" spans="39:56" ht="20.25">
      <c r="AM105" s="25" t="e">
        <f>B13</f>
        <v>#REF!</v>
      </c>
      <c r="AN105" s="34" t="e">
        <f>D13</f>
        <v>#REF!</v>
      </c>
      <c r="AP105" s="46" t="str">
        <f t="shared" ref="AP105:AU110" si="65">IFERROR(INDEX($E$3:$AI$3,MATCH($AN105&amp;AP$8&amp;ROW(A1),$E$13:$AI$13,0))&amp;"/"&amp;$AN$3,"")</f>
        <v/>
      </c>
      <c r="AQ105" s="31" t="str">
        <f t="shared" si="65"/>
        <v/>
      </c>
      <c r="AR105" s="31" t="str">
        <f t="shared" si="65"/>
        <v/>
      </c>
      <c r="AS105" s="46" t="str">
        <f t="shared" si="65"/>
        <v/>
      </c>
      <c r="AT105" s="31" t="str">
        <f t="shared" si="65"/>
        <v/>
      </c>
      <c r="AU105" s="31" t="str">
        <f t="shared" si="65"/>
        <v/>
      </c>
      <c r="AV105" s="46" t="str">
        <f t="shared" ref="AV105:AX110" si="66">IFERROR(INDEX($E$3:$AI$3,MATCH($AN105&amp;AV$8&amp;ROW(G1),$E$13:$AI$13,0))&amp;"/"&amp;$AN$3,"")</f>
        <v/>
      </c>
      <c r="AW105" s="31" t="str">
        <f t="shared" si="66"/>
        <v/>
      </c>
      <c r="AX105" s="32" t="str">
        <f t="shared" si="66"/>
        <v/>
      </c>
      <c r="AZ105" s="48" t="s">
        <v>257</v>
      </c>
      <c r="BA105" s="49">
        <f>COUNTA(AP105:AP114)-COUNTBLANK(AP105:AP114)+(COUNTA(AQ105:AQ114)-COUNTBLANK(AQ105:AQ114))*0.5+(COUNTA(AR105:AR114)-COUNTBLANK(AR105:AR114))*0.5</f>
        <v>0</v>
      </c>
      <c r="BB105" s="67" t="str">
        <f>BB104</f>
        <v/>
      </c>
      <c r="BC105" s="67" t="str">
        <f>BC104</f>
        <v/>
      </c>
      <c r="BD105" s="59" t="str">
        <f t="shared" ref="BD105:BD110" si="67">IFERROR(INDEX($E$3:$AI$3,MATCH($AN105&amp;BD$8&amp;ROW(N1),$E$13:$AI$13,0))&amp;"/"&amp;$AN$3,"")</f>
        <v/>
      </c>
    </row>
    <row r="106" spans="39:56" ht="18.75">
      <c r="AM106" s="30" t="e">
        <f t="shared" ref="AM106:AM114" si="68">AM105</f>
        <v>#REF!</v>
      </c>
      <c r="AN106" s="27" t="e">
        <f>AN105</f>
        <v>#REF!</v>
      </c>
      <c r="AP106" s="46" t="str">
        <f t="shared" si="65"/>
        <v/>
      </c>
      <c r="AQ106" s="31" t="str">
        <f t="shared" si="65"/>
        <v/>
      </c>
      <c r="AR106" s="31" t="str">
        <f t="shared" si="65"/>
        <v/>
      </c>
      <c r="AS106" s="46" t="str">
        <f t="shared" si="65"/>
        <v/>
      </c>
      <c r="AT106" s="31" t="str">
        <f t="shared" si="65"/>
        <v/>
      </c>
      <c r="AU106" s="31" t="str">
        <f t="shared" si="65"/>
        <v/>
      </c>
      <c r="AV106" s="46" t="str">
        <f t="shared" si="66"/>
        <v/>
      </c>
      <c r="AW106" s="31" t="str">
        <f t="shared" si="66"/>
        <v/>
      </c>
      <c r="AX106" s="32" t="str">
        <f t="shared" si="66"/>
        <v/>
      </c>
      <c r="AZ106" s="48" t="s">
        <v>258</v>
      </c>
      <c r="BA106" s="49">
        <f>COUNTA(AS105:AS114)-COUNTBLANK(AS105:AS114)+(COUNTA(AT105:AT114)-COUNTBLANK(AT105:AT114))*0.5+(COUNTA(AU105:AU114)-COUNTBLANK(AU105:AU114))*0.5</f>
        <v>0</v>
      </c>
      <c r="BB106" s="67" t="str">
        <f t="shared" ref="BB106:BC115" si="69">BB105</f>
        <v/>
      </c>
      <c r="BC106" s="67" t="str">
        <f t="shared" si="69"/>
        <v/>
      </c>
      <c r="BD106" s="60" t="str">
        <f t="shared" si="67"/>
        <v/>
      </c>
    </row>
    <row r="107" spans="39:56" ht="18.75">
      <c r="AM107" s="30" t="e">
        <f t="shared" si="68"/>
        <v>#REF!</v>
      </c>
      <c r="AN107" s="27" t="e">
        <f t="shared" ref="AN107:AN114" si="70">AN106</f>
        <v>#REF!</v>
      </c>
      <c r="AP107" s="46" t="str">
        <f t="shared" si="65"/>
        <v/>
      </c>
      <c r="AQ107" s="31" t="str">
        <f t="shared" si="65"/>
        <v/>
      </c>
      <c r="AR107" s="31" t="str">
        <f t="shared" si="65"/>
        <v/>
      </c>
      <c r="AS107" s="46" t="str">
        <f t="shared" si="65"/>
        <v/>
      </c>
      <c r="AT107" s="31" t="str">
        <f t="shared" si="65"/>
        <v/>
      </c>
      <c r="AU107" s="31" t="str">
        <f t="shared" si="65"/>
        <v/>
      </c>
      <c r="AV107" s="46" t="str">
        <f t="shared" si="66"/>
        <v/>
      </c>
      <c r="AW107" s="31" t="str">
        <f t="shared" si="66"/>
        <v/>
      </c>
      <c r="AX107" s="32" t="str">
        <f t="shared" si="66"/>
        <v/>
      </c>
      <c r="AZ107" s="48" t="s">
        <v>259</v>
      </c>
      <c r="BA107" s="49">
        <f>COUNTA(AV105:AV114)-COUNTBLANK(AV105:AV114)+(COUNTA(AW105:AW114)-COUNTBLANK(AW105:AW114))*0.5+(COUNTA(AX105:AX114)-COUNTBLANK(AX105:AX114))*0.5</f>
        <v>0</v>
      </c>
      <c r="BB107" s="67" t="str">
        <f t="shared" si="69"/>
        <v/>
      </c>
      <c r="BC107" s="67" t="str">
        <f t="shared" si="69"/>
        <v/>
      </c>
      <c r="BD107" s="60" t="str">
        <f t="shared" si="67"/>
        <v/>
      </c>
    </row>
    <row r="108" spans="39:56" ht="20.25">
      <c r="AM108" s="30" t="e">
        <f t="shared" si="68"/>
        <v>#REF!</v>
      </c>
      <c r="AN108" s="27" t="e">
        <f t="shared" si="70"/>
        <v>#REF!</v>
      </c>
      <c r="AP108" s="46" t="str">
        <f t="shared" si="65"/>
        <v/>
      </c>
      <c r="AQ108" s="31" t="str">
        <f t="shared" si="65"/>
        <v/>
      </c>
      <c r="AR108" s="31" t="str">
        <f t="shared" si="65"/>
        <v/>
      </c>
      <c r="AS108" s="46" t="str">
        <f t="shared" si="65"/>
        <v/>
      </c>
      <c r="AT108" s="31" t="str">
        <f t="shared" si="65"/>
        <v/>
      </c>
      <c r="AU108" s="31" t="str">
        <f t="shared" si="65"/>
        <v/>
      </c>
      <c r="AV108" s="46" t="str">
        <f t="shared" si="66"/>
        <v/>
      </c>
      <c r="AW108" s="31" t="str">
        <f t="shared" si="66"/>
        <v/>
      </c>
      <c r="AX108" s="32" t="str">
        <f t="shared" si="66"/>
        <v/>
      </c>
      <c r="AZ108" s="33"/>
      <c r="BA108" s="23"/>
      <c r="BB108" s="67" t="str">
        <f t="shared" si="69"/>
        <v/>
      </c>
      <c r="BC108" s="67" t="str">
        <f t="shared" si="69"/>
        <v/>
      </c>
      <c r="BD108" s="60" t="str">
        <f t="shared" si="67"/>
        <v/>
      </c>
    </row>
    <row r="109" spans="39:56" ht="18">
      <c r="AM109" s="30" t="e">
        <f t="shared" si="68"/>
        <v>#REF!</v>
      </c>
      <c r="AN109" s="27" t="e">
        <f t="shared" si="70"/>
        <v>#REF!</v>
      </c>
      <c r="AP109" s="46" t="str">
        <f t="shared" si="65"/>
        <v/>
      </c>
      <c r="AQ109" s="31" t="str">
        <f t="shared" si="65"/>
        <v/>
      </c>
      <c r="AR109" s="31" t="str">
        <f t="shared" si="65"/>
        <v/>
      </c>
      <c r="AS109" s="46" t="str">
        <f t="shared" si="65"/>
        <v/>
      </c>
      <c r="AT109" s="31" t="str">
        <f t="shared" si="65"/>
        <v/>
      </c>
      <c r="AU109" s="31" t="str">
        <f t="shared" si="65"/>
        <v/>
      </c>
      <c r="AV109" s="46" t="str">
        <f t="shared" si="66"/>
        <v/>
      </c>
      <c r="AW109" s="31" t="str">
        <f t="shared" si="66"/>
        <v/>
      </c>
      <c r="AX109" s="32" t="str">
        <f t="shared" si="66"/>
        <v/>
      </c>
      <c r="AZ109" s="33"/>
      <c r="BB109" s="67" t="str">
        <f t="shared" si="69"/>
        <v/>
      </c>
      <c r="BC109" s="67" t="str">
        <f t="shared" si="69"/>
        <v/>
      </c>
      <c r="BD109" s="60" t="str">
        <f t="shared" si="67"/>
        <v/>
      </c>
    </row>
    <row r="110" spans="39:56" ht="20.25">
      <c r="AM110" s="30" t="e">
        <f t="shared" si="68"/>
        <v>#REF!</v>
      </c>
      <c r="AN110" s="27" t="e">
        <f t="shared" si="70"/>
        <v>#REF!</v>
      </c>
      <c r="AP110" s="46" t="str">
        <f t="shared" si="65"/>
        <v/>
      </c>
      <c r="AQ110" s="31" t="str">
        <f t="shared" si="65"/>
        <v/>
      </c>
      <c r="AR110" s="31" t="str">
        <f t="shared" si="65"/>
        <v/>
      </c>
      <c r="AS110" s="46" t="str">
        <f t="shared" si="65"/>
        <v/>
      </c>
      <c r="AT110" s="31" t="str">
        <f t="shared" si="65"/>
        <v/>
      </c>
      <c r="AU110" s="31" t="str">
        <f t="shared" si="65"/>
        <v/>
      </c>
      <c r="AV110" s="46" t="str">
        <f t="shared" si="66"/>
        <v/>
      </c>
      <c r="AW110" s="31" t="str">
        <f t="shared" si="66"/>
        <v/>
      </c>
      <c r="AX110" s="32" t="str">
        <f t="shared" si="66"/>
        <v/>
      </c>
      <c r="AZ110" s="23" t="s">
        <v>260</v>
      </c>
      <c r="BB110" s="67" t="str">
        <f t="shared" si="69"/>
        <v/>
      </c>
      <c r="BC110" s="67" t="str">
        <f t="shared" si="69"/>
        <v/>
      </c>
      <c r="BD110" s="60" t="str">
        <f t="shared" si="67"/>
        <v/>
      </c>
    </row>
    <row r="111" spans="39:56" ht="18">
      <c r="AM111" s="30" t="e">
        <f t="shared" si="68"/>
        <v>#REF!</v>
      </c>
      <c r="AN111" s="27" t="e">
        <f t="shared" si="70"/>
        <v>#REF!</v>
      </c>
      <c r="AP111" s="46" t="str">
        <f t="shared" ref="AP111:AU114" si="71">IFERROR(INDEX($E$3:$AI$3,MATCH($AN111&amp;AP$8&amp;ROW(A8),$E$13:$AI$13,0))&amp;"/"&amp;$AN$3,"")</f>
        <v/>
      </c>
      <c r="AQ111" s="31" t="str">
        <f t="shared" si="71"/>
        <v/>
      </c>
      <c r="AR111" s="31" t="str">
        <f t="shared" si="71"/>
        <v/>
      </c>
      <c r="AS111" s="46" t="str">
        <f t="shared" si="71"/>
        <v/>
      </c>
      <c r="AT111" s="31" t="str">
        <f t="shared" si="71"/>
        <v/>
      </c>
      <c r="AU111" s="31" t="str">
        <f t="shared" si="71"/>
        <v/>
      </c>
      <c r="AV111" s="46" t="str">
        <f t="shared" ref="AV111:AX114" si="72">IFERROR(INDEX($E$3:$AI$3,MATCH($AN111&amp;AV$8&amp;ROW(G8),$E$13:$AI$13,0))&amp;"/"&amp;$AN$3,"")</f>
        <v/>
      </c>
      <c r="AW111" s="31" t="str">
        <f t="shared" si="72"/>
        <v/>
      </c>
      <c r="AX111" s="32" t="str">
        <f t="shared" si="72"/>
        <v/>
      </c>
      <c r="AZ111" s="33"/>
      <c r="BB111" s="67" t="str">
        <f t="shared" si="69"/>
        <v/>
      </c>
      <c r="BC111" s="67" t="str">
        <f t="shared" si="69"/>
        <v/>
      </c>
      <c r="BD111" s="60" t="str">
        <f>IFERROR(INDEX($E$3:$AI$3,MATCH($AN111&amp;BD$8&amp;ROW(N8),$E$13:$AI$13,0))&amp;"/"&amp;$AN$3,"")</f>
        <v/>
      </c>
    </row>
    <row r="112" spans="39:56" ht="18">
      <c r="AM112" s="30" t="e">
        <f t="shared" si="68"/>
        <v>#REF!</v>
      </c>
      <c r="AN112" s="27" t="e">
        <f t="shared" si="70"/>
        <v>#REF!</v>
      </c>
      <c r="AP112" s="46" t="str">
        <f t="shared" si="71"/>
        <v/>
      </c>
      <c r="AQ112" s="31" t="str">
        <f t="shared" si="71"/>
        <v/>
      </c>
      <c r="AR112" s="31" t="str">
        <f t="shared" si="71"/>
        <v/>
      </c>
      <c r="AS112" s="46" t="str">
        <f t="shared" si="71"/>
        <v/>
      </c>
      <c r="AT112" s="31" t="str">
        <f t="shared" si="71"/>
        <v/>
      </c>
      <c r="AU112" s="31" t="str">
        <f t="shared" si="71"/>
        <v/>
      </c>
      <c r="AV112" s="46" t="str">
        <f t="shared" si="72"/>
        <v/>
      </c>
      <c r="AW112" s="31" t="str">
        <f t="shared" si="72"/>
        <v/>
      </c>
      <c r="AX112" s="32" t="str">
        <f t="shared" si="72"/>
        <v/>
      </c>
      <c r="BB112" s="67" t="str">
        <f t="shared" si="69"/>
        <v/>
      </c>
      <c r="BC112" s="67" t="str">
        <f t="shared" si="69"/>
        <v/>
      </c>
      <c r="BD112" s="60" t="str">
        <f>IFERROR(INDEX($E$3:$AI$3,MATCH($AN112&amp;BD$8&amp;ROW(N9),$E$13:$AI$13,0))&amp;"/"&amp;$AN$3,"")</f>
        <v/>
      </c>
    </row>
    <row r="113" spans="39:56" ht="18">
      <c r="AM113" s="30" t="e">
        <f t="shared" si="68"/>
        <v>#REF!</v>
      </c>
      <c r="AN113" s="27" t="e">
        <f t="shared" si="70"/>
        <v>#REF!</v>
      </c>
      <c r="AP113" s="46" t="str">
        <f t="shared" si="71"/>
        <v/>
      </c>
      <c r="AQ113" s="31" t="str">
        <f t="shared" si="71"/>
        <v/>
      </c>
      <c r="AR113" s="31" t="str">
        <f t="shared" si="71"/>
        <v/>
      </c>
      <c r="AS113" s="46" t="str">
        <f t="shared" si="71"/>
        <v/>
      </c>
      <c r="AT113" s="31" t="str">
        <f t="shared" si="71"/>
        <v/>
      </c>
      <c r="AU113" s="31" t="str">
        <f t="shared" si="71"/>
        <v/>
      </c>
      <c r="AV113" s="46" t="str">
        <f t="shared" si="72"/>
        <v/>
      </c>
      <c r="AW113" s="31" t="str">
        <f t="shared" si="72"/>
        <v/>
      </c>
      <c r="AX113" s="32" t="str">
        <f t="shared" si="72"/>
        <v/>
      </c>
      <c r="BB113" s="67" t="str">
        <f t="shared" si="69"/>
        <v/>
      </c>
      <c r="BC113" s="67" t="str">
        <f t="shared" si="69"/>
        <v/>
      </c>
      <c r="BD113" s="60" t="str">
        <f>IFERROR(INDEX($E$3:$AI$3,MATCH($AN113&amp;BD$8&amp;ROW(N10),$E$13:$AI$13,0))&amp;"/"&amp;$AN$3,"")</f>
        <v/>
      </c>
    </row>
    <row r="114" spans="39:56" ht="18.75" thickBot="1">
      <c r="AM114" s="51" t="e">
        <f t="shared" si="68"/>
        <v>#REF!</v>
      </c>
      <c r="AN114" s="28" t="e">
        <f t="shared" si="70"/>
        <v>#REF!</v>
      </c>
      <c r="AO114" s="26"/>
      <c r="AP114" s="52" t="str">
        <f t="shared" si="71"/>
        <v/>
      </c>
      <c r="AQ114" s="53" t="str">
        <f t="shared" si="71"/>
        <v/>
      </c>
      <c r="AR114" s="53" t="str">
        <f t="shared" si="71"/>
        <v/>
      </c>
      <c r="AS114" s="52" t="str">
        <f t="shared" si="71"/>
        <v/>
      </c>
      <c r="AT114" s="53" t="str">
        <f t="shared" si="71"/>
        <v/>
      </c>
      <c r="AU114" s="53" t="str">
        <f t="shared" si="71"/>
        <v/>
      </c>
      <c r="AV114" s="52" t="str">
        <f t="shared" si="72"/>
        <v/>
      </c>
      <c r="AW114" s="53" t="str">
        <f t="shared" si="72"/>
        <v/>
      </c>
      <c r="AX114" s="54" t="str">
        <f t="shared" si="72"/>
        <v/>
      </c>
      <c r="AZ114" s="26" t="str">
        <f>AP114</f>
        <v/>
      </c>
      <c r="BA114" s="29"/>
      <c r="BB114" s="67" t="str">
        <f t="shared" si="69"/>
        <v/>
      </c>
      <c r="BC114" s="67" t="str">
        <f t="shared" si="69"/>
        <v/>
      </c>
      <c r="BD114" s="61" t="str">
        <f>IFERROR(INDEX($E$3:$AI$3,MATCH($AN114&amp;BD$8&amp;ROW(N11),$E$13:$AI$13,0))&amp;"/"&amp;$AN$3,"")</f>
        <v/>
      </c>
    </row>
    <row r="115" spans="39:56" ht="15.75" thickBot="1">
      <c r="BA115" s="22"/>
      <c r="BB115" s="67" t="str">
        <f t="shared" si="69"/>
        <v/>
      </c>
      <c r="BC115" s="67" t="str">
        <f t="shared" si="69"/>
        <v/>
      </c>
    </row>
    <row r="116" spans="39:56" ht="20.25">
      <c r="AM116" s="39"/>
      <c r="AN116" s="40"/>
      <c r="AO116" s="36"/>
      <c r="AP116" s="45" t="s">
        <v>247</v>
      </c>
      <c r="AQ116" s="37" t="s">
        <v>248</v>
      </c>
      <c r="AR116" s="37" t="s">
        <v>249</v>
      </c>
      <c r="AS116" s="45" t="s">
        <v>250</v>
      </c>
      <c r="AT116" s="37" t="s">
        <v>251</v>
      </c>
      <c r="AU116" s="37" t="s">
        <v>252</v>
      </c>
      <c r="AV116" s="45" t="s">
        <v>253</v>
      </c>
      <c r="AW116" s="37" t="s">
        <v>254</v>
      </c>
      <c r="AX116" s="38" t="s">
        <v>255</v>
      </c>
      <c r="AZ116" s="35" t="str">
        <f>$AN$3&amp;" Total"</f>
        <v>7/2021 Total</v>
      </c>
      <c r="BA116" s="47"/>
      <c r="BB116" s="66" t="str">
        <f>IF(COUNTBLANK(AP117:AX117)=9,"","Leave")</f>
        <v/>
      </c>
      <c r="BC116" s="66" t="str">
        <f>IFERROR(VLOOKUP(AM117,#REF!,4,FALSE),"")</f>
        <v/>
      </c>
      <c r="BD116" s="58" t="s">
        <v>256</v>
      </c>
    </row>
    <row r="117" spans="39:56" ht="20.25">
      <c r="AM117" s="25" t="e">
        <f>B14</f>
        <v>#REF!</v>
      </c>
      <c r="AN117" s="34" t="e">
        <f>D14</f>
        <v>#REF!</v>
      </c>
      <c r="AP117" s="46" t="str">
        <f t="shared" ref="AP117:AU122" si="73">IFERROR(INDEX($E$3:$AI$3,MATCH($AN117&amp;AP$8&amp;ROW(A1),$E$14:$AI$14,0))&amp;"/"&amp;$AN$3,"")</f>
        <v/>
      </c>
      <c r="AQ117" s="31" t="str">
        <f t="shared" si="73"/>
        <v/>
      </c>
      <c r="AR117" s="31" t="str">
        <f t="shared" si="73"/>
        <v/>
      </c>
      <c r="AS117" s="46" t="str">
        <f t="shared" si="73"/>
        <v/>
      </c>
      <c r="AT117" s="31" t="str">
        <f t="shared" si="73"/>
        <v/>
      </c>
      <c r="AU117" s="31" t="str">
        <f t="shared" si="73"/>
        <v/>
      </c>
      <c r="AV117" s="46" t="str">
        <f t="shared" ref="AV117:AX122" si="74">IFERROR(INDEX($E$3:$AI$3,MATCH($AN117&amp;AV$8&amp;ROW(G1),$E$14:$AI$14,0))&amp;"/"&amp;$AN$3,"")</f>
        <v/>
      </c>
      <c r="AW117" s="31" t="str">
        <f t="shared" si="74"/>
        <v/>
      </c>
      <c r="AX117" s="32" t="str">
        <f t="shared" si="74"/>
        <v/>
      </c>
      <c r="AZ117" s="48" t="s">
        <v>257</v>
      </c>
      <c r="BA117" s="49">
        <f>COUNTA(AP117:AP126)-COUNTBLANK(AP117:AP126)+(COUNTA(AQ117:AQ126)-COUNTBLANK(AQ117:AQ126))*0.5+(COUNTA(AR117:AR126)-COUNTBLANK(AR117:AR126))*0.5</f>
        <v>0</v>
      </c>
      <c r="BB117" s="67" t="str">
        <f>BB116</f>
        <v/>
      </c>
      <c r="BC117" s="67" t="str">
        <f>BC116</f>
        <v/>
      </c>
      <c r="BD117" s="59" t="str">
        <f t="shared" ref="BD117:BD122" si="75">IFERROR(INDEX($E$3:$AI$3,MATCH($AN117&amp;BD$8&amp;ROW(N1),$E$14:$AI$14,0))&amp;"/"&amp;$AN$3,"")</f>
        <v/>
      </c>
    </row>
    <row r="118" spans="39:56" ht="18.75">
      <c r="AM118" s="30" t="e">
        <f t="shared" ref="AM118:AM126" si="76">AM117</f>
        <v>#REF!</v>
      </c>
      <c r="AN118" s="27" t="e">
        <f>AN117</f>
        <v>#REF!</v>
      </c>
      <c r="AP118" s="46" t="str">
        <f t="shared" si="73"/>
        <v/>
      </c>
      <c r="AQ118" s="31" t="str">
        <f t="shared" si="73"/>
        <v/>
      </c>
      <c r="AR118" s="31" t="str">
        <f t="shared" si="73"/>
        <v/>
      </c>
      <c r="AS118" s="46" t="str">
        <f t="shared" si="73"/>
        <v/>
      </c>
      <c r="AT118" s="31" t="str">
        <f t="shared" si="73"/>
        <v/>
      </c>
      <c r="AU118" s="31" t="str">
        <f t="shared" si="73"/>
        <v/>
      </c>
      <c r="AV118" s="46" t="str">
        <f t="shared" si="74"/>
        <v/>
      </c>
      <c r="AW118" s="31" t="str">
        <f t="shared" si="74"/>
        <v/>
      </c>
      <c r="AX118" s="32" t="str">
        <f t="shared" si="74"/>
        <v/>
      </c>
      <c r="AZ118" s="48" t="s">
        <v>258</v>
      </c>
      <c r="BA118" s="49">
        <f>COUNTA(AS117:AS126)-COUNTBLANK(AS117:AS126)+(COUNTA(AT117:AT126)-COUNTBLANK(AT117:AT126))*0.5+(COUNTA(AU117:AU126)-COUNTBLANK(AU117:AU126))*0.5</f>
        <v>0</v>
      </c>
      <c r="BB118" s="67" t="str">
        <f t="shared" ref="BB118:BC127" si="77">BB117</f>
        <v/>
      </c>
      <c r="BC118" s="67" t="str">
        <f t="shared" si="77"/>
        <v/>
      </c>
      <c r="BD118" s="60" t="str">
        <f t="shared" si="75"/>
        <v/>
      </c>
    </row>
    <row r="119" spans="39:56" ht="18.75">
      <c r="AM119" s="30" t="e">
        <f t="shared" si="76"/>
        <v>#REF!</v>
      </c>
      <c r="AN119" s="27" t="e">
        <f t="shared" ref="AN119:AN126" si="78">AN118</f>
        <v>#REF!</v>
      </c>
      <c r="AP119" s="46" t="str">
        <f t="shared" si="73"/>
        <v/>
      </c>
      <c r="AQ119" s="31" t="str">
        <f t="shared" si="73"/>
        <v/>
      </c>
      <c r="AR119" s="31" t="str">
        <f t="shared" si="73"/>
        <v/>
      </c>
      <c r="AS119" s="46" t="str">
        <f t="shared" si="73"/>
        <v/>
      </c>
      <c r="AT119" s="31" t="str">
        <f t="shared" si="73"/>
        <v/>
      </c>
      <c r="AU119" s="31" t="str">
        <f t="shared" si="73"/>
        <v/>
      </c>
      <c r="AV119" s="46" t="str">
        <f t="shared" si="74"/>
        <v/>
      </c>
      <c r="AW119" s="31" t="str">
        <f t="shared" si="74"/>
        <v/>
      </c>
      <c r="AX119" s="32" t="str">
        <f t="shared" si="74"/>
        <v/>
      </c>
      <c r="AZ119" s="48" t="s">
        <v>259</v>
      </c>
      <c r="BA119" s="49">
        <f>COUNTA(AV117:AV126)-COUNTBLANK(AV117:AV126)+(COUNTA(AW117:AW126)-COUNTBLANK(AW117:AW126))*0.5+(COUNTA(AX117:AX126)-COUNTBLANK(AX117:AX126))*0.5</f>
        <v>0</v>
      </c>
      <c r="BB119" s="67" t="str">
        <f t="shared" si="77"/>
        <v/>
      </c>
      <c r="BC119" s="67" t="str">
        <f t="shared" si="77"/>
        <v/>
      </c>
      <c r="BD119" s="60" t="str">
        <f t="shared" si="75"/>
        <v/>
      </c>
    </row>
    <row r="120" spans="39:56" ht="20.25">
      <c r="AM120" s="30" t="e">
        <f t="shared" si="76"/>
        <v>#REF!</v>
      </c>
      <c r="AN120" s="27" t="e">
        <f t="shared" si="78"/>
        <v>#REF!</v>
      </c>
      <c r="AP120" s="46" t="str">
        <f t="shared" si="73"/>
        <v/>
      </c>
      <c r="AQ120" s="31" t="str">
        <f t="shared" si="73"/>
        <v/>
      </c>
      <c r="AR120" s="31" t="str">
        <f t="shared" si="73"/>
        <v/>
      </c>
      <c r="AS120" s="46" t="str">
        <f t="shared" si="73"/>
        <v/>
      </c>
      <c r="AT120" s="31" t="str">
        <f t="shared" si="73"/>
        <v/>
      </c>
      <c r="AU120" s="31" t="str">
        <f t="shared" si="73"/>
        <v/>
      </c>
      <c r="AV120" s="46" t="str">
        <f t="shared" si="74"/>
        <v/>
      </c>
      <c r="AW120" s="31" t="str">
        <f t="shared" si="74"/>
        <v/>
      </c>
      <c r="AX120" s="32" t="str">
        <f t="shared" si="74"/>
        <v/>
      </c>
      <c r="AZ120" s="33"/>
      <c r="BA120" s="23"/>
      <c r="BB120" s="67" t="str">
        <f t="shared" si="77"/>
        <v/>
      </c>
      <c r="BC120" s="67" t="str">
        <f t="shared" si="77"/>
        <v/>
      </c>
      <c r="BD120" s="60" t="str">
        <f t="shared" si="75"/>
        <v/>
      </c>
    </row>
    <row r="121" spans="39:56" ht="18">
      <c r="AM121" s="30" t="e">
        <f t="shared" si="76"/>
        <v>#REF!</v>
      </c>
      <c r="AN121" s="27" t="e">
        <f t="shared" si="78"/>
        <v>#REF!</v>
      </c>
      <c r="AP121" s="46" t="str">
        <f t="shared" si="73"/>
        <v/>
      </c>
      <c r="AQ121" s="31" t="str">
        <f t="shared" si="73"/>
        <v/>
      </c>
      <c r="AR121" s="31" t="str">
        <f t="shared" si="73"/>
        <v/>
      </c>
      <c r="AS121" s="46" t="str">
        <f t="shared" si="73"/>
        <v/>
      </c>
      <c r="AT121" s="31" t="str">
        <f t="shared" si="73"/>
        <v/>
      </c>
      <c r="AU121" s="31" t="str">
        <f t="shared" si="73"/>
        <v/>
      </c>
      <c r="AV121" s="46" t="str">
        <f t="shared" si="74"/>
        <v/>
      </c>
      <c r="AW121" s="31" t="str">
        <f t="shared" si="74"/>
        <v/>
      </c>
      <c r="AX121" s="32" t="str">
        <f t="shared" si="74"/>
        <v/>
      </c>
      <c r="AZ121" s="33"/>
      <c r="BB121" s="67" t="str">
        <f t="shared" si="77"/>
        <v/>
      </c>
      <c r="BC121" s="67" t="str">
        <f t="shared" si="77"/>
        <v/>
      </c>
      <c r="BD121" s="60" t="str">
        <f t="shared" si="75"/>
        <v/>
      </c>
    </row>
    <row r="122" spans="39:56" ht="20.25">
      <c r="AM122" s="30" t="e">
        <f t="shared" si="76"/>
        <v>#REF!</v>
      </c>
      <c r="AN122" s="27" t="e">
        <f t="shared" si="78"/>
        <v>#REF!</v>
      </c>
      <c r="AP122" s="46" t="str">
        <f t="shared" si="73"/>
        <v/>
      </c>
      <c r="AQ122" s="31" t="str">
        <f t="shared" si="73"/>
        <v/>
      </c>
      <c r="AR122" s="31" t="str">
        <f t="shared" si="73"/>
        <v/>
      </c>
      <c r="AS122" s="46" t="str">
        <f t="shared" si="73"/>
        <v/>
      </c>
      <c r="AT122" s="31" t="str">
        <f t="shared" si="73"/>
        <v/>
      </c>
      <c r="AU122" s="31" t="str">
        <f t="shared" si="73"/>
        <v/>
      </c>
      <c r="AV122" s="46" t="str">
        <f t="shared" si="74"/>
        <v/>
      </c>
      <c r="AW122" s="31" t="str">
        <f t="shared" si="74"/>
        <v/>
      </c>
      <c r="AX122" s="32" t="str">
        <f t="shared" si="74"/>
        <v/>
      </c>
      <c r="AZ122" s="23" t="s">
        <v>260</v>
      </c>
      <c r="BB122" s="67" t="str">
        <f t="shared" si="77"/>
        <v/>
      </c>
      <c r="BC122" s="67" t="str">
        <f t="shared" si="77"/>
        <v/>
      </c>
      <c r="BD122" s="60" t="str">
        <f t="shared" si="75"/>
        <v/>
      </c>
    </row>
    <row r="123" spans="39:56" ht="18">
      <c r="AM123" s="30" t="e">
        <f t="shared" si="76"/>
        <v>#REF!</v>
      </c>
      <c r="AN123" s="27" t="e">
        <f t="shared" si="78"/>
        <v>#REF!</v>
      </c>
      <c r="AP123" s="46" t="str">
        <f t="shared" ref="AP123:AU126" si="79">IFERROR(INDEX($E$3:$AI$3,MATCH($AN123&amp;AP$8&amp;ROW(A8),$E$14:$AI$14,0))&amp;"/"&amp;$AN$3,"")</f>
        <v/>
      </c>
      <c r="AQ123" s="31" t="str">
        <f t="shared" si="79"/>
        <v/>
      </c>
      <c r="AR123" s="31" t="str">
        <f t="shared" si="79"/>
        <v/>
      </c>
      <c r="AS123" s="46" t="str">
        <f t="shared" si="79"/>
        <v/>
      </c>
      <c r="AT123" s="31" t="str">
        <f t="shared" si="79"/>
        <v/>
      </c>
      <c r="AU123" s="31" t="str">
        <f t="shared" si="79"/>
        <v/>
      </c>
      <c r="AV123" s="46" t="str">
        <f t="shared" ref="AV123:AX126" si="80">IFERROR(INDEX($E$3:$AI$3,MATCH($AN123&amp;AV$8&amp;ROW(G8),$E$14:$AI$14,0))&amp;"/"&amp;$AN$3,"")</f>
        <v/>
      </c>
      <c r="AW123" s="31" t="str">
        <f t="shared" si="80"/>
        <v/>
      </c>
      <c r="AX123" s="32" t="str">
        <f t="shared" si="80"/>
        <v/>
      </c>
      <c r="AZ123" s="33"/>
      <c r="BB123" s="67" t="str">
        <f t="shared" si="77"/>
        <v/>
      </c>
      <c r="BC123" s="67" t="str">
        <f t="shared" si="77"/>
        <v/>
      </c>
      <c r="BD123" s="60" t="str">
        <f>IFERROR(INDEX($E$3:$AI$3,MATCH($AN123&amp;BD$8&amp;ROW(N8),$E$14:$AI$14,0))&amp;"/"&amp;$AN$3,"")</f>
        <v/>
      </c>
    </row>
    <row r="124" spans="39:56" ht="18">
      <c r="AM124" s="30" t="e">
        <f t="shared" si="76"/>
        <v>#REF!</v>
      </c>
      <c r="AN124" s="27" t="e">
        <f t="shared" si="78"/>
        <v>#REF!</v>
      </c>
      <c r="AP124" s="46" t="str">
        <f t="shared" si="79"/>
        <v/>
      </c>
      <c r="AQ124" s="31" t="str">
        <f t="shared" si="79"/>
        <v/>
      </c>
      <c r="AR124" s="31" t="str">
        <f t="shared" si="79"/>
        <v/>
      </c>
      <c r="AS124" s="46" t="str">
        <f t="shared" si="79"/>
        <v/>
      </c>
      <c r="AT124" s="31" t="str">
        <f t="shared" si="79"/>
        <v/>
      </c>
      <c r="AU124" s="31" t="str">
        <f t="shared" si="79"/>
        <v/>
      </c>
      <c r="AV124" s="46" t="str">
        <f t="shared" si="80"/>
        <v/>
      </c>
      <c r="AW124" s="31" t="str">
        <f t="shared" si="80"/>
        <v/>
      </c>
      <c r="AX124" s="32" t="str">
        <f t="shared" si="80"/>
        <v/>
      </c>
      <c r="BB124" s="67" t="str">
        <f t="shared" si="77"/>
        <v/>
      </c>
      <c r="BC124" s="67" t="str">
        <f t="shared" si="77"/>
        <v/>
      </c>
      <c r="BD124" s="60" t="str">
        <f>IFERROR(INDEX($E$3:$AI$3,MATCH($AN124&amp;BD$8&amp;ROW(N9),$E$14:$AI$14,0))&amp;"/"&amp;$AN$3,"")</f>
        <v/>
      </c>
    </row>
    <row r="125" spans="39:56" ht="18">
      <c r="AM125" s="30" t="e">
        <f t="shared" si="76"/>
        <v>#REF!</v>
      </c>
      <c r="AN125" s="27" t="e">
        <f t="shared" si="78"/>
        <v>#REF!</v>
      </c>
      <c r="AP125" s="46" t="str">
        <f t="shared" si="79"/>
        <v/>
      </c>
      <c r="AQ125" s="31" t="str">
        <f t="shared" si="79"/>
        <v/>
      </c>
      <c r="AR125" s="31" t="str">
        <f t="shared" si="79"/>
        <v/>
      </c>
      <c r="AS125" s="46" t="str">
        <f t="shared" si="79"/>
        <v/>
      </c>
      <c r="AT125" s="31" t="str">
        <f t="shared" si="79"/>
        <v/>
      </c>
      <c r="AU125" s="31" t="str">
        <f t="shared" si="79"/>
        <v/>
      </c>
      <c r="AV125" s="46" t="str">
        <f t="shared" si="80"/>
        <v/>
      </c>
      <c r="AW125" s="31" t="str">
        <f t="shared" si="80"/>
        <v/>
      </c>
      <c r="AX125" s="32" t="str">
        <f t="shared" si="80"/>
        <v/>
      </c>
      <c r="BB125" s="67" t="str">
        <f t="shared" si="77"/>
        <v/>
      </c>
      <c r="BC125" s="67" t="str">
        <f t="shared" si="77"/>
        <v/>
      </c>
      <c r="BD125" s="60" t="str">
        <f>IFERROR(INDEX($E$3:$AI$3,MATCH($AN125&amp;BD$8&amp;ROW(N10),$E$14:$AI$14,0))&amp;"/"&amp;$AN$3,"")</f>
        <v/>
      </c>
    </row>
    <row r="126" spans="39:56" ht="18.75" thickBot="1">
      <c r="AM126" s="51" t="e">
        <f t="shared" si="76"/>
        <v>#REF!</v>
      </c>
      <c r="AN126" s="28" t="e">
        <f t="shared" si="78"/>
        <v>#REF!</v>
      </c>
      <c r="AO126" s="26"/>
      <c r="AP126" s="52" t="str">
        <f t="shared" si="79"/>
        <v/>
      </c>
      <c r="AQ126" s="53" t="str">
        <f t="shared" si="79"/>
        <v/>
      </c>
      <c r="AR126" s="53" t="str">
        <f t="shared" si="79"/>
        <v/>
      </c>
      <c r="AS126" s="52" t="str">
        <f t="shared" si="79"/>
        <v/>
      </c>
      <c r="AT126" s="53" t="str">
        <f t="shared" si="79"/>
        <v/>
      </c>
      <c r="AU126" s="53" t="str">
        <f t="shared" si="79"/>
        <v/>
      </c>
      <c r="AV126" s="52" t="str">
        <f t="shared" si="80"/>
        <v/>
      </c>
      <c r="AW126" s="53" t="str">
        <f t="shared" si="80"/>
        <v/>
      </c>
      <c r="AX126" s="54" t="str">
        <f t="shared" si="80"/>
        <v/>
      </c>
      <c r="AZ126" s="26" t="str">
        <f>AP126</f>
        <v/>
      </c>
      <c r="BA126" s="29"/>
      <c r="BB126" s="67" t="str">
        <f t="shared" si="77"/>
        <v/>
      </c>
      <c r="BC126" s="67" t="str">
        <f t="shared" si="77"/>
        <v/>
      </c>
      <c r="BD126" s="61" t="str">
        <f>IFERROR(INDEX($E$3:$AI$3,MATCH($AN126&amp;BD$8&amp;ROW(N11),$E$14:$AI$14,0))&amp;"/"&amp;$AN$3,"")</f>
        <v/>
      </c>
    </row>
    <row r="127" spans="39:56" ht="15.75" thickBot="1">
      <c r="BA127" s="22"/>
      <c r="BB127" s="67" t="str">
        <f t="shared" si="77"/>
        <v/>
      </c>
      <c r="BC127" s="67" t="str">
        <f t="shared" si="77"/>
        <v/>
      </c>
    </row>
    <row r="128" spans="39:56" ht="20.25">
      <c r="AM128" s="39"/>
      <c r="AN128" s="40"/>
      <c r="AO128" s="36"/>
      <c r="AP128" s="45" t="s">
        <v>247</v>
      </c>
      <c r="AQ128" s="37" t="s">
        <v>248</v>
      </c>
      <c r="AR128" s="37" t="s">
        <v>249</v>
      </c>
      <c r="AS128" s="45" t="s">
        <v>250</v>
      </c>
      <c r="AT128" s="37" t="s">
        <v>251</v>
      </c>
      <c r="AU128" s="37" t="s">
        <v>252</v>
      </c>
      <c r="AV128" s="45" t="s">
        <v>253</v>
      </c>
      <c r="AW128" s="37" t="s">
        <v>254</v>
      </c>
      <c r="AX128" s="38" t="s">
        <v>255</v>
      </c>
      <c r="AZ128" s="35" t="str">
        <f>$AN$3&amp;" Total"</f>
        <v>7/2021 Total</v>
      </c>
      <c r="BA128" s="47"/>
      <c r="BB128" s="66" t="str">
        <f>IF(COUNTBLANK(AP129:AX129)=9,"","Leave")</f>
        <v/>
      </c>
      <c r="BC128" s="66" t="str">
        <f>IFERROR(VLOOKUP(AM129,#REF!,4,FALSE),"")</f>
        <v/>
      </c>
      <c r="BD128" s="58" t="s">
        <v>256</v>
      </c>
    </row>
    <row r="129" spans="39:56" ht="20.25">
      <c r="AM129" s="25" t="e">
        <f>B15</f>
        <v>#REF!</v>
      </c>
      <c r="AN129" s="34" t="e">
        <f>D15</f>
        <v>#REF!</v>
      </c>
      <c r="AP129" s="46" t="str">
        <f t="shared" ref="AP129:AU134" si="81">IFERROR(INDEX($E$3:$AI$3,MATCH($AN129&amp;AP$8&amp;ROW(A1),$E$15:$AI$15,0))&amp;"/"&amp;$AN$3,"")</f>
        <v/>
      </c>
      <c r="AQ129" s="31" t="str">
        <f t="shared" si="81"/>
        <v/>
      </c>
      <c r="AR129" s="31" t="str">
        <f t="shared" si="81"/>
        <v/>
      </c>
      <c r="AS129" s="46" t="str">
        <f t="shared" si="81"/>
        <v/>
      </c>
      <c r="AT129" s="31" t="str">
        <f t="shared" si="81"/>
        <v/>
      </c>
      <c r="AU129" s="31" t="str">
        <f t="shared" si="81"/>
        <v/>
      </c>
      <c r="AV129" s="46" t="str">
        <f t="shared" ref="AV129:AX134" si="82">IFERROR(INDEX($E$3:$AI$3,MATCH($AN129&amp;AV$8&amp;ROW(G1),$E$15:$AI$15,0))&amp;"/"&amp;$AN$3,"")</f>
        <v/>
      </c>
      <c r="AW129" s="31" t="str">
        <f t="shared" si="82"/>
        <v/>
      </c>
      <c r="AX129" s="32" t="str">
        <f t="shared" si="82"/>
        <v/>
      </c>
      <c r="AZ129" s="48" t="s">
        <v>257</v>
      </c>
      <c r="BA129" s="49">
        <f>COUNTA(AP129:AP138)-COUNTBLANK(AP129:AP138)+(COUNTA(AQ129:AQ138)-COUNTBLANK(AQ129:AQ138))*0.5+(COUNTA(AR129:AR138)-COUNTBLANK(AR129:AR138))*0.5</f>
        <v>0</v>
      </c>
      <c r="BB129" s="67" t="str">
        <f>BB128</f>
        <v/>
      </c>
      <c r="BC129" s="67" t="str">
        <f>BC128</f>
        <v/>
      </c>
      <c r="BD129" s="59" t="str">
        <f t="shared" ref="BD129:BD134" si="83">IFERROR(INDEX($E$3:$AI$3,MATCH($AN129&amp;BD$8&amp;ROW(N1),$E$15:$AI$15,0))&amp;"/"&amp;$AN$3,"")</f>
        <v/>
      </c>
    </row>
    <row r="130" spans="39:56" ht="18.75">
      <c r="AM130" s="30" t="e">
        <f t="shared" ref="AM130:AM138" si="84">AM129</f>
        <v>#REF!</v>
      </c>
      <c r="AN130" s="27" t="e">
        <f>AN129</f>
        <v>#REF!</v>
      </c>
      <c r="AP130" s="46" t="str">
        <f t="shared" si="81"/>
        <v/>
      </c>
      <c r="AQ130" s="31" t="str">
        <f t="shared" si="81"/>
        <v/>
      </c>
      <c r="AR130" s="31" t="str">
        <f t="shared" si="81"/>
        <v/>
      </c>
      <c r="AS130" s="46" t="str">
        <f t="shared" si="81"/>
        <v/>
      </c>
      <c r="AT130" s="31" t="str">
        <f t="shared" si="81"/>
        <v/>
      </c>
      <c r="AU130" s="31" t="str">
        <f t="shared" si="81"/>
        <v/>
      </c>
      <c r="AV130" s="46" t="str">
        <f t="shared" si="82"/>
        <v/>
      </c>
      <c r="AW130" s="31" t="str">
        <f t="shared" si="82"/>
        <v/>
      </c>
      <c r="AX130" s="32" t="str">
        <f t="shared" si="82"/>
        <v/>
      </c>
      <c r="AZ130" s="48" t="s">
        <v>258</v>
      </c>
      <c r="BA130" s="49">
        <f>COUNTA(AS129:AS138)-COUNTBLANK(AS129:AS138)+(COUNTA(AT129:AT138)-COUNTBLANK(AT129:AT138))*0.5+(COUNTA(AU129:AU138)-COUNTBLANK(AU129:AU138))*0.5</f>
        <v>0</v>
      </c>
      <c r="BB130" s="67" t="str">
        <f t="shared" ref="BB130:BC139" si="85">BB129</f>
        <v/>
      </c>
      <c r="BC130" s="67" t="str">
        <f t="shared" si="85"/>
        <v/>
      </c>
      <c r="BD130" s="60" t="str">
        <f t="shared" si="83"/>
        <v/>
      </c>
    </row>
    <row r="131" spans="39:56" ht="18.75">
      <c r="AM131" s="30" t="e">
        <f t="shared" si="84"/>
        <v>#REF!</v>
      </c>
      <c r="AN131" s="27" t="e">
        <f t="shared" ref="AN131:AN138" si="86">AN130</f>
        <v>#REF!</v>
      </c>
      <c r="AP131" s="46" t="str">
        <f t="shared" si="81"/>
        <v/>
      </c>
      <c r="AQ131" s="31" t="str">
        <f t="shared" si="81"/>
        <v/>
      </c>
      <c r="AR131" s="31" t="str">
        <f t="shared" si="81"/>
        <v/>
      </c>
      <c r="AS131" s="46" t="str">
        <f t="shared" si="81"/>
        <v/>
      </c>
      <c r="AT131" s="31" t="str">
        <f t="shared" si="81"/>
        <v/>
      </c>
      <c r="AU131" s="31" t="str">
        <f t="shared" si="81"/>
        <v/>
      </c>
      <c r="AV131" s="46" t="str">
        <f t="shared" si="82"/>
        <v/>
      </c>
      <c r="AW131" s="31" t="str">
        <f t="shared" si="82"/>
        <v/>
      </c>
      <c r="AX131" s="32" t="str">
        <f t="shared" si="82"/>
        <v/>
      </c>
      <c r="AZ131" s="48" t="s">
        <v>259</v>
      </c>
      <c r="BA131" s="49">
        <f>COUNTA(AV129:AV138)-COUNTBLANK(AV129:AV138)+(COUNTA(AW129:AW138)-COUNTBLANK(AW129:AW138))*0.5+(COUNTA(AX129:AX138)-COUNTBLANK(AX129:AX138))*0.5</f>
        <v>0</v>
      </c>
      <c r="BB131" s="67" t="str">
        <f t="shared" si="85"/>
        <v/>
      </c>
      <c r="BC131" s="67" t="str">
        <f t="shared" si="85"/>
        <v/>
      </c>
      <c r="BD131" s="60" t="str">
        <f t="shared" si="83"/>
        <v/>
      </c>
    </row>
    <row r="132" spans="39:56" ht="20.25">
      <c r="AM132" s="30" t="e">
        <f t="shared" si="84"/>
        <v>#REF!</v>
      </c>
      <c r="AN132" s="27" t="e">
        <f t="shared" si="86"/>
        <v>#REF!</v>
      </c>
      <c r="AP132" s="46" t="str">
        <f t="shared" si="81"/>
        <v/>
      </c>
      <c r="AQ132" s="31" t="str">
        <f t="shared" si="81"/>
        <v/>
      </c>
      <c r="AR132" s="31" t="str">
        <f t="shared" si="81"/>
        <v/>
      </c>
      <c r="AS132" s="46" t="str">
        <f t="shared" si="81"/>
        <v/>
      </c>
      <c r="AT132" s="31" t="str">
        <f t="shared" si="81"/>
        <v/>
      </c>
      <c r="AU132" s="31" t="str">
        <f t="shared" si="81"/>
        <v/>
      </c>
      <c r="AV132" s="46" t="str">
        <f t="shared" si="82"/>
        <v/>
      </c>
      <c r="AW132" s="31" t="str">
        <f t="shared" si="82"/>
        <v/>
      </c>
      <c r="AX132" s="32" t="str">
        <f t="shared" si="82"/>
        <v/>
      </c>
      <c r="AZ132" s="33"/>
      <c r="BA132" s="23"/>
      <c r="BB132" s="67" t="str">
        <f t="shared" si="85"/>
        <v/>
      </c>
      <c r="BC132" s="67" t="str">
        <f t="shared" si="85"/>
        <v/>
      </c>
      <c r="BD132" s="60" t="str">
        <f t="shared" si="83"/>
        <v/>
      </c>
    </row>
    <row r="133" spans="39:56" ht="18">
      <c r="AM133" s="30" t="e">
        <f t="shared" si="84"/>
        <v>#REF!</v>
      </c>
      <c r="AN133" s="27" t="e">
        <f t="shared" si="86"/>
        <v>#REF!</v>
      </c>
      <c r="AP133" s="46" t="str">
        <f t="shared" si="81"/>
        <v/>
      </c>
      <c r="AQ133" s="31" t="str">
        <f t="shared" si="81"/>
        <v/>
      </c>
      <c r="AR133" s="31" t="str">
        <f t="shared" si="81"/>
        <v/>
      </c>
      <c r="AS133" s="46" t="str">
        <f t="shared" si="81"/>
        <v/>
      </c>
      <c r="AT133" s="31" t="str">
        <f t="shared" si="81"/>
        <v/>
      </c>
      <c r="AU133" s="31" t="str">
        <f t="shared" si="81"/>
        <v/>
      </c>
      <c r="AV133" s="46" t="str">
        <f t="shared" si="82"/>
        <v/>
      </c>
      <c r="AW133" s="31" t="str">
        <f t="shared" si="82"/>
        <v/>
      </c>
      <c r="AX133" s="32" t="str">
        <f t="shared" si="82"/>
        <v/>
      </c>
      <c r="AZ133" s="33"/>
      <c r="BB133" s="67" t="str">
        <f t="shared" si="85"/>
        <v/>
      </c>
      <c r="BC133" s="67" t="str">
        <f t="shared" si="85"/>
        <v/>
      </c>
      <c r="BD133" s="60" t="str">
        <f t="shared" si="83"/>
        <v/>
      </c>
    </row>
    <row r="134" spans="39:56" ht="20.25">
      <c r="AM134" s="30" t="e">
        <f t="shared" si="84"/>
        <v>#REF!</v>
      </c>
      <c r="AN134" s="27" t="e">
        <f t="shared" si="86"/>
        <v>#REF!</v>
      </c>
      <c r="AP134" s="46" t="str">
        <f t="shared" si="81"/>
        <v/>
      </c>
      <c r="AQ134" s="31" t="str">
        <f t="shared" si="81"/>
        <v/>
      </c>
      <c r="AR134" s="31" t="str">
        <f t="shared" si="81"/>
        <v/>
      </c>
      <c r="AS134" s="46" t="str">
        <f t="shared" si="81"/>
        <v/>
      </c>
      <c r="AT134" s="31" t="str">
        <f t="shared" si="81"/>
        <v/>
      </c>
      <c r="AU134" s="31" t="str">
        <f t="shared" si="81"/>
        <v/>
      </c>
      <c r="AV134" s="46" t="str">
        <f t="shared" si="82"/>
        <v/>
      </c>
      <c r="AW134" s="31" t="str">
        <f t="shared" si="82"/>
        <v/>
      </c>
      <c r="AX134" s="32" t="str">
        <f t="shared" si="82"/>
        <v/>
      </c>
      <c r="AZ134" s="23" t="s">
        <v>260</v>
      </c>
      <c r="BB134" s="67" t="str">
        <f t="shared" si="85"/>
        <v/>
      </c>
      <c r="BC134" s="67" t="str">
        <f t="shared" si="85"/>
        <v/>
      </c>
      <c r="BD134" s="60" t="str">
        <f t="shared" si="83"/>
        <v/>
      </c>
    </row>
    <row r="135" spans="39:56" ht="18">
      <c r="AM135" s="30" t="e">
        <f t="shared" si="84"/>
        <v>#REF!</v>
      </c>
      <c r="AN135" s="27" t="e">
        <f t="shared" si="86"/>
        <v>#REF!</v>
      </c>
      <c r="AP135" s="46" t="str">
        <f t="shared" ref="AP135:AU138" si="87">IFERROR(INDEX($E$3:$AI$3,MATCH($AN135&amp;AP$8&amp;ROW(A8),$E$15:$AI$15,0))&amp;"/"&amp;$AN$3,"")</f>
        <v/>
      </c>
      <c r="AQ135" s="31" t="str">
        <f t="shared" si="87"/>
        <v/>
      </c>
      <c r="AR135" s="31" t="str">
        <f t="shared" si="87"/>
        <v/>
      </c>
      <c r="AS135" s="46" t="str">
        <f t="shared" si="87"/>
        <v/>
      </c>
      <c r="AT135" s="31" t="str">
        <f t="shared" si="87"/>
        <v/>
      </c>
      <c r="AU135" s="31" t="str">
        <f t="shared" si="87"/>
        <v/>
      </c>
      <c r="AV135" s="46" t="str">
        <f t="shared" ref="AV135:AX138" si="88">IFERROR(INDEX($E$3:$AI$3,MATCH($AN135&amp;AV$8&amp;ROW(G8),$E$15:$AI$15,0))&amp;"/"&amp;$AN$3,"")</f>
        <v/>
      </c>
      <c r="AW135" s="31" t="str">
        <f t="shared" si="88"/>
        <v/>
      </c>
      <c r="AX135" s="32" t="str">
        <f t="shared" si="88"/>
        <v/>
      </c>
      <c r="AZ135" s="33"/>
      <c r="BB135" s="67" t="str">
        <f t="shared" si="85"/>
        <v/>
      </c>
      <c r="BC135" s="67" t="str">
        <f t="shared" si="85"/>
        <v/>
      </c>
      <c r="BD135" s="60" t="str">
        <f>IFERROR(INDEX($E$3:$AI$3,MATCH($AN135&amp;BD$8&amp;ROW(N8),$E$15:$AI$15,0))&amp;"/"&amp;$AN$3,"")</f>
        <v/>
      </c>
    </row>
    <row r="136" spans="39:56" ht="18">
      <c r="AM136" s="30" t="e">
        <f t="shared" si="84"/>
        <v>#REF!</v>
      </c>
      <c r="AN136" s="27" t="e">
        <f t="shared" si="86"/>
        <v>#REF!</v>
      </c>
      <c r="AP136" s="46" t="str">
        <f t="shared" si="87"/>
        <v/>
      </c>
      <c r="AQ136" s="31" t="str">
        <f t="shared" si="87"/>
        <v/>
      </c>
      <c r="AR136" s="31" t="str">
        <f t="shared" si="87"/>
        <v/>
      </c>
      <c r="AS136" s="46" t="str">
        <f t="shared" si="87"/>
        <v/>
      </c>
      <c r="AT136" s="31" t="str">
        <f t="shared" si="87"/>
        <v/>
      </c>
      <c r="AU136" s="31" t="str">
        <f t="shared" si="87"/>
        <v/>
      </c>
      <c r="AV136" s="46" t="str">
        <f t="shared" si="88"/>
        <v/>
      </c>
      <c r="AW136" s="31" t="str">
        <f t="shared" si="88"/>
        <v/>
      </c>
      <c r="AX136" s="32" t="str">
        <f t="shared" si="88"/>
        <v/>
      </c>
      <c r="BB136" s="67" t="str">
        <f t="shared" si="85"/>
        <v/>
      </c>
      <c r="BC136" s="67" t="str">
        <f t="shared" si="85"/>
        <v/>
      </c>
      <c r="BD136" s="60" t="str">
        <f>IFERROR(INDEX($E$3:$AI$3,MATCH($AN136&amp;BD$8&amp;ROW(N9),$E$15:$AI$15,0))&amp;"/"&amp;$AN$3,"")</f>
        <v/>
      </c>
    </row>
    <row r="137" spans="39:56" ht="18">
      <c r="AM137" s="30" t="e">
        <f t="shared" si="84"/>
        <v>#REF!</v>
      </c>
      <c r="AN137" s="27" t="e">
        <f t="shared" si="86"/>
        <v>#REF!</v>
      </c>
      <c r="AP137" s="46" t="str">
        <f t="shared" si="87"/>
        <v/>
      </c>
      <c r="AQ137" s="31" t="str">
        <f t="shared" si="87"/>
        <v/>
      </c>
      <c r="AR137" s="31" t="str">
        <f t="shared" si="87"/>
        <v/>
      </c>
      <c r="AS137" s="46" t="str">
        <f t="shared" si="87"/>
        <v/>
      </c>
      <c r="AT137" s="31" t="str">
        <f t="shared" si="87"/>
        <v/>
      </c>
      <c r="AU137" s="31" t="str">
        <f t="shared" si="87"/>
        <v/>
      </c>
      <c r="AV137" s="46" t="str">
        <f t="shared" si="88"/>
        <v/>
      </c>
      <c r="AW137" s="31" t="str">
        <f t="shared" si="88"/>
        <v/>
      </c>
      <c r="AX137" s="32" t="str">
        <f t="shared" si="88"/>
        <v/>
      </c>
      <c r="BB137" s="67" t="str">
        <f t="shared" si="85"/>
        <v/>
      </c>
      <c r="BC137" s="67" t="str">
        <f t="shared" si="85"/>
        <v/>
      </c>
      <c r="BD137" s="60" t="str">
        <f>IFERROR(INDEX($E$3:$AI$3,MATCH($AN137&amp;BD$8&amp;ROW(N10),$E$15:$AI$15,0))&amp;"/"&amp;$AN$3,"")</f>
        <v/>
      </c>
    </row>
    <row r="138" spans="39:56" ht="18.75" thickBot="1">
      <c r="AM138" s="51" t="e">
        <f t="shared" si="84"/>
        <v>#REF!</v>
      </c>
      <c r="AN138" s="28" t="e">
        <f t="shared" si="86"/>
        <v>#REF!</v>
      </c>
      <c r="AO138" s="26"/>
      <c r="AP138" s="52" t="str">
        <f t="shared" si="87"/>
        <v/>
      </c>
      <c r="AQ138" s="53" t="str">
        <f t="shared" si="87"/>
        <v/>
      </c>
      <c r="AR138" s="53" t="str">
        <f t="shared" si="87"/>
        <v/>
      </c>
      <c r="AS138" s="52" t="str">
        <f t="shared" si="87"/>
        <v/>
      </c>
      <c r="AT138" s="53" t="str">
        <f t="shared" si="87"/>
        <v/>
      </c>
      <c r="AU138" s="53" t="str">
        <f t="shared" si="87"/>
        <v/>
      </c>
      <c r="AV138" s="52" t="str">
        <f t="shared" si="88"/>
        <v/>
      </c>
      <c r="AW138" s="53" t="str">
        <f t="shared" si="88"/>
        <v/>
      </c>
      <c r="AX138" s="54" t="str">
        <f t="shared" si="88"/>
        <v/>
      </c>
      <c r="AZ138" s="26" t="str">
        <f>AP138</f>
        <v/>
      </c>
      <c r="BA138" s="29"/>
      <c r="BB138" s="67" t="str">
        <f t="shared" si="85"/>
        <v/>
      </c>
      <c r="BC138" s="67" t="str">
        <f t="shared" si="85"/>
        <v/>
      </c>
      <c r="BD138" s="61" t="str">
        <f>IFERROR(INDEX($E$3:$AI$3,MATCH($AN138&amp;BD$8&amp;ROW(N11),$E$15:$AI$15,0))&amp;"/"&amp;$AN$3,"")</f>
        <v/>
      </c>
    </row>
    <row r="139" spans="39:56" ht="15.75" thickBot="1">
      <c r="BA139" s="22"/>
      <c r="BB139" s="67" t="str">
        <f t="shared" si="85"/>
        <v/>
      </c>
      <c r="BC139" s="67" t="str">
        <f t="shared" si="85"/>
        <v/>
      </c>
    </row>
    <row r="140" spans="39:56" ht="20.25">
      <c r="AM140" s="39"/>
      <c r="AN140" s="40"/>
      <c r="AO140" s="36"/>
      <c r="AP140" s="45" t="s">
        <v>247</v>
      </c>
      <c r="AQ140" s="37" t="s">
        <v>248</v>
      </c>
      <c r="AR140" s="37" t="s">
        <v>249</v>
      </c>
      <c r="AS140" s="45" t="s">
        <v>250</v>
      </c>
      <c r="AT140" s="37" t="s">
        <v>251</v>
      </c>
      <c r="AU140" s="37" t="s">
        <v>252</v>
      </c>
      <c r="AV140" s="45" t="s">
        <v>253</v>
      </c>
      <c r="AW140" s="37" t="s">
        <v>254</v>
      </c>
      <c r="AX140" s="38" t="s">
        <v>255</v>
      </c>
      <c r="AZ140" s="35" t="str">
        <f>$AN$3&amp;" Total"</f>
        <v>7/2021 Total</v>
      </c>
      <c r="BA140" s="47"/>
      <c r="BB140" s="66" t="str">
        <f>IF(COUNTBLANK(AP141:AX141)=9,"","Leave")</f>
        <v/>
      </c>
      <c r="BC140" s="66" t="str">
        <f>IFERROR(VLOOKUP(AM141,#REF!,4,FALSE),"")</f>
        <v/>
      </c>
      <c r="BD140" s="58" t="s">
        <v>256</v>
      </c>
    </row>
    <row r="141" spans="39:56" ht="20.25">
      <c r="AM141" s="25" t="e">
        <f>B16</f>
        <v>#REF!</v>
      </c>
      <c r="AN141" s="34" t="e">
        <f>D16</f>
        <v>#REF!</v>
      </c>
      <c r="AP141" s="46" t="str">
        <f t="shared" ref="AP141:AU146" si="89">IFERROR(INDEX($E$3:$AI$3,MATCH($AN141&amp;AP$8&amp;ROW(A1),$E$16:$AI$16,0))&amp;"/"&amp;$AN$3,"")</f>
        <v/>
      </c>
      <c r="AQ141" s="31" t="str">
        <f t="shared" si="89"/>
        <v/>
      </c>
      <c r="AR141" s="31" t="str">
        <f t="shared" si="89"/>
        <v/>
      </c>
      <c r="AS141" s="46" t="str">
        <f t="shared" si="89"/>
        <v/>
      </c>
      <c r="AT141" s="31" t="str">
        <f t="shared" si="89"/>
        <v/>
      </c>
      <c r="AU141" s="31" t="str">
        <f t="shared" si="89"/>
        <v/>
      </c>
      <c r="AV141" s="46" t="str">
        <f t="shared" ref="AV141:AX146" si="90">IFERROR(INDEX($E$3:$AI$3,MATCH($AN141&amp;AV$8&amp;ROW(G1),$E$16:$AI$16,0))&amp;"/"&amp;$AN$3,"")</f>
        <v/>
      </c>
      <c r="AW141" s="31" t="str">
        <f t="shared" si="90"/>
        <v/>
      </c>
      <c r="AX141" s="32" t="str">
        <f t="shared" si="90"/>
        <v/>
      </c>
      <c r="AZ141" s="48" t="s">
        <v>257</v>
      </c>
      <c r="BA141" s="49">
        <f>COUNTA(AP141:AP150)-COUNTBLANK(AP141:AP150)+(COUNTA(AQ141:AQ150)-COUNTBLANK(AQ141:AQ150))*0.5+(COUNTA(AR141:AR150)-COUNTBLANK(AR141:AR150))*0.5</f>
        <v>0</v>
      </c>
      <c r="BB141" s="67" t="str">
        <f>BB140</f>
        <v/>
      </c>
      <c r="BC141" s="67" t="str">
        <f>BC140</f>
        <v/>
      </c>
      <c r="BD141" s="59" t="str">
        <f t="shared" ref="BD141:BD146" si="91">IFERROR(INDEX($E$3:$AI$3,MATCH($AN141&amp;BD$8&amp;ROW(N1),$E$16:$AI$16,0))&amp;"/"&amp;$AN$3,"")</f>
        <v/>
      </c>
    </row>
    <row r="142" spans="39:56" ht="18.75">
      <c r="AM142" s="30" t="e">
        <f t="shared" ref="AM142:AM150" si="92">AM141</f>
        <v>#REF!</v>
      </c>
      <c r="AN142" s="27" t="e">
        <f>AN141</f>
        <v>#REF!</v>
      </c>
      <c r="AP142" s="46" t="str">
        <f t="shared" si="89"/>
        <v/>
      </c>
      <c r="AQ142" s="31" t="str">
        <f t="shared" si="89"/>
        <v/>
      </c>
      <c r="AR142" s="31" t="str">
        <f t="shared" si="89"/>
        <v/>
      </c>
      <c r="AS142" s="46" t="str">
        <f t="shared" si="89"/>
        <v/>
      </c>
      <c r="AT142" s="31" t="str">
        <f t="shared" si="89"/>
        <v/>
      </c>
      <c r="AU142" s="31" t="str">
        <f t="shared" si="89"/>
        <v/>
      </c>
      <c r="AV142" s="46" t="str">
        <f t="shared" si="90"/>
        <v/>
      </c>
      <c r="AW142" s="31" t="str">
        <f t="shared" si="90"/>
        <v/>
      </c>
      <c r="AX142" s="32" t="str">
        <f t="shared" si="90"/>
        <v/>
      </c>
      <c r="AZ142" s="48" t="s">
        <v>258</v>
      </c>
      <c r="BA142" s="49">
        <f>COUNTA(AS141:AS150)-COUNTBLANK(AS141:AS150)+(COUNTA(AT141:AT150)-COUNTBLANK(AT141:AT150))*0.5+(COUNTA(AU141:AU150)-COUNTBLANK(AU141:AU150))*0.5</f>
        <v>0</v>
      </c>
      <c r="BB142" s="67" t="str">
        <f t="shared" ref="BB142:BC151" si="93">BB141</f>
        <v/>
      </c>
      <c r="BC142" s="67" t="str">
        <f t="shared" si="93"/>
        <v/>
      </c>
      <c r="BD142" s="60" t="str">
        <f t="shared" si="91"/>
        <v/>
      </c>
    </row>
    <row r="143" spans="39:56" ht="18.75">
      <c r="AM143" s="30" t="e">
        <f t="shared" si="92"/>
        <v>#REF!</v>
      </c>
      <c r="AN143" s="27" t="e">
        <f t="shared" ref="AN143:AN150" si="94">AN142</f>
        <v>#REF!</v>
      </c>
      <c r="AP143" s="46" t="str">
        <f t="shared" si="89"/>
        <v/>
      </c>
      <c r="AQ143" s="31" t="str">
        <f t="shared" si="89"/>
        <v/>
      </c>
      <c r="AR143" s="31" t="str">
        <f t="shared" si="89"/>
        <v/>
      </c>
      <c r="AS143" s="46" t="str">
        <f t="shared" si="89"/>
        <v/>
      </c>
      <c r="AT143" s="31" t="str">
        <f t="shared" si="89"/>
        <v/>
      </c>
      <c r="AU143" s="31" t="str">
        <f t="shared" si="89"/>
        <v/>
      </c>
      <c r="AV143" s="46" t="str">
        <f t="shared" si="90"/>
        <v/>
      </c>
      <c r="AW143" s="31" t="str">
        <f t="shared" si="90"/>
        <v/>
      </c>
      <c r="AX143" s="32" t="str">
        <f t="shared" si="90"/>
        <v/>
      </c>
      <c r="AZ143" s="48" t="s">
        <v>259</v>
      </c>
      <c r="BA143" s="49">
        <f>COUNTA(AV141:AV150)-COUNTBLANK(AV141:AV150)+(COUNTA(AW141:AW150)-COUNTBLANK(AW141:AW150))*0.5+(COUNTA(AX141:AX150)-COUNTBLANK(AX141:AX150))*0.5</f>
        <v>0</v>
      </c>
      <c r="BB143" s="67" t="str">
        <f t="shared" si="93"/>
        <v/>
      </c>
      <c r="BC143" s="67" t="str">
        <f t="shared" si="93"/>
        <v/>
      </c>
      <c r="BD143" s="60" t="str">
        <f t="shared" si="91"/>
        <v/>
      </c>
    </row>
    <row r="144" spans="39:56" ht="20.25">
      <c r="AM144" s="30" t="e">
        <f t="shared" si="92"/>
        <v>#REF!</v>
      </c>
      <c r="AN144" s="27" t="e">
        <f t="shared" si="94"/>
        <v>#REF!</v>
      </c>
      <c r="AP144" s="46" t="str">
        <f t="shared" si="89"/>
        <v/>
      </c>
      <c r="AQ144" s="31" t="str">
        <f t="shared" si="89"/>
        <v/>
      </c>
      <c r="AR144" s="31" t="str">
        <f t="shared" si="89"/>
        <v/>
      </c>
      <c r="AS144" s="46" t="str">
        <f t="shared" si="89"/>
        <v/>
      </c>
      <c r="AT144" s="31" t="str">
        <f t="shared" si="89"/>
        <v/>
      </c>
      <c r="AU144" s="31" t="str">
        <f t="shared" si="89"/>
        <v/>
      </c>
      <c r="AV144" s="46" t="str">
        <f t="shared" si="90"/>
        <v/>
      </c>
      <c r="AW144" s="31" t="str">
        <f t="shared" si="90"/>
        <v/>
      </c>
      <c r="AX144" s="32" t="str">
        <f t="shared" si="90"/>
        <v/>
      </c>
      <c r="AZ144" s="33"/>
      <c r="BA144" s="23"/>
      <c r="BB144" s="67" t="str">
        <f t="shared" si="93"/>
        <v/>
      </c>
      <c r="BC144" s="67" t="str">
        <f t="shared" si="93"/>
        <v/>
      </c>
      <c r="BD144" s="60" t="str">
        <f t="shared" si="91"/>
        <v/>
      </c>
    </row>
    <row r="145" spans="39:56" ht="18">
      <c r="AM145" s="30" t="e">
        <f t="shared" si="92"/>
        <v>#REF!</v>
      </c>
      <c r="AN145" s="27" t="e">
        <f t="shared" si="94"/>
        <v>#REF!</v>
      </c>
      <c r="AP145" s="46" t="str">
        <f t="shared" si="89"/>
        <v/>
      </c>
      <c r="AQ145" s="31" t="str">
        <f t="shared" si="89"/>
        <v/>
      </c>
      <c r="AR145" s="31" t="str">
        <f t="shared" si="89"/>
        <v/>
      </c>
      <c r="AS145" s="46" t="str">
        <f t="shared" si="89"/>
        <v/>
      </c>
      <c r="AT145" s="31" t="str">
        <f t="shared" si="89"/>
        <v/>
      </c>
      <c r="AU145" s="31" t="str">
        <f t="shared" si="89"/>
        <v/>
      </c>
      <c r="AV145" s="46" t="str">
        <f t="shared" si="90"/>
        <v/>
      </c>
      <c r="AW145" s="31" t="str">
        <f t="shared" si="90"/>
        <v/>
      </c>
      <c r="AX145" s="32" t="str">
        <f t="shared" si="90"/>
        <v/>
      </c>
      <c r="AZ145" s="33"/>
      <c r="BB145" s="67" t="str">
        <f t="shared" si="93"/>
        <v/>
      </c>
      <c r="BC145" s="67" t="str">
        <f t="shared" si="93"/>
        <v/>
      </c>
      <c r="BD145" s="60" t="str">
        <f t="shared" si="91"/>
        <v/>
      </c>
    </row>
    <row r="146" spans="39:56" ht="20.25">
      <c r="AM146" s="30" t="e">
        <f t="shared" si="92"/>
        <v>#REF!</v>
      </c>
      <c r="AN146" s="27" t="e">
        <f t="shared" si="94"/>
        <v>#REF!</v>
      </c>
      <c r="AP146" s="46" t="str">
        <f t="shared" si="89"/>
        <v/>
      </c>
      <c r="AQ146" s="31" t="str">
        <f t="shared" si="89"/>
        <v/>
      </c>
      <c r="AR146" s="31" t="str">
        <f t="shared" si="89"/>
        <v/>
      </c>
      <c r="AS146" s="46" t="str">
        <f t="shared" si="89"/>
        <v/>
      </c>
      <c r="AT146" s="31" t="str">
        <f t="shared" si="89"/>
        <v/>
      </c>
      <c r="AU146" s="31" t="str">
        <f t="shared" si="89"/>
        <v/>
      </c>
      <c r="AV146" s="46" t="str">
        <f t="shared" si="90"/>
        <v/>
      </c>
      <c r="AW146" s="31" t="str">
        <f t="shared" si="90"/>
        <v/>
      </c>
      <c r="AX146" s="32" t="str">
        <f t="shared" si="90"/>
        <v/>
      </c>
      <c r="AZ146" s="23" t="s">
        <v>260</v>
      </c>
      <c r="BB146" s="67" t="str">
        <f t="shared" si="93"/>
        <v/>
      </c>
      <c r="BC146" s="67" t="str">
        <f t="shared" si="93"/>
        <v/>
      </c>
      <c r="BD146" s="60" t="str">
        <f t="shared" si="91"/>
        <v/>
      </c>
    </row>
    <row r="147" spans="39:56" ht="18">
      <c r="AM147" s="30" t="e">
        <f t="shared" si="92"/>
        <v>#REF!</v>
      </c>
      <c r="AN147" s="27" t="e">
        <f t="shared" si="94"/>
        <v>#REF!</v>
      </c>
      <c r="AP147" s="46" t="str">
        <f t="shared" ref="AP147:AU150" si="95">IFERROR(INDEX($E$3:$AI$3,MATCH($AN147&amp;AP$8&amp;ROW(A8),$E$16:$AI$16,0))&amp;"/"&amp;$AN$3,"")</f>
        <v/>
      </c>
      <c r="AQ147" s="31" t="str">
        <f t="shared" si="95"/>
        <v/>
      </c>
      <c r="AR147" s="31" t="str">
        <f t="shared" si="95"/>
        <v/>
      </c>
      <c r="AS147" s="46" t="str">
        <f t="shared" si="95"/>
        <v/>
      </c>
      <c r="AT147" s="31" t="str">
        <f t="shared" si="95"/>
        <v/>
      </c>
      <c r="AU147" s="31" t="str">
        <f t="shared" si="95"/>
        <v/>
      </c>
      <c r="AV147" s="46" t="str">
        <f t="shared" ref="AV147:AX150" si="96">IFERROR(INDEX($E$3:$AI$3,MATCH($AN147&amp;AV$8&amp;ROW(G8),$E$16:$AI$16,0))&amp;"/"&amp;$AN$3,"")</f>
        <v/>
      </c>
      <c r="AW147" s="31" t="str">
        <f t="shared" si="96"/>
        <v/>
      </c>
      <c r="AX147" s="32" t="str">
        <f t="shared" si="96"/>
        <v/>
      </c>
      <c r="AZ147" s="33"/>
      <c r="BB147" s="67" t="str">
        <f t="shared" si="93"/>
        <v/>
      </c>
      <c r="BC147" s="67" t="str">
        <f t="shared" si="93"/>
        <v/>
      </c>
      <c r="BD147" s="60" t="str">
        <f>IFERROR(INDEX($E$3:$AI$3,MATCH($AN147&amp;BD$8&amp;ROW(N8),$E$16:$AI$16,0))&amp;"/"&amp;$AN$3,"")</f>
        <v/>
      </c>
    </row>
    <row r="148" spans="39:56" ht="18">
      <c r="AM148" s="30" t="e">
        <f t="shared" si="92"/>
        <v>#REF!</v>
      </c>
      <c r="AN148" s="27" t="e">
        <f t="shared" si="94"/>
        <v>#REF!</v>
      </c>
      <c r="AP148" s="46" t="str">
        <f t="shared" si="95"/>
        <v/>
      </c>
      <c r="AQ148" s="31" t="str">
        <f t="shared" si="95"/>
        <v/>
      </c>
      <c r="AR148" s="31" t="str">
        <f t="shared" si="95"/>
        <v/>
      </c>
      <c r="AS148" s="46" t="str">
        <f t="shared" si="95"/>
        <v/>
      </c>
      <c r="AT148" s="31" t="str">
        <f t="shared" si="95"/>
        <v/>
      </c>
      <c r="AU148" s="31" t="str">
        <f t="shared" si="95"/>
        <v/>
      </c>
      <c r="AV148" s="46" t="str">
        <f t="shared" si="96"/>
        <v/>
      </c>
      <c r="AW148" s="31" t="str">
        <f t="shared" si="96"/>
        <v/>
      </c>
      <c r="AX148" s="32" t="str">
        <f t="shared" si="96"/>
        <v/>
      </c>
      <c r="BB148" s="67" t="str">
        <f t="shared" si="93"/>
        <v/>
      </c>
      <c r="BC148" s="67" t="str">
        <f t="shared" si="93"/>
        <v/>
      </c>
      <c r="BD148" s="60" t="str">
        <f>IFERROR(INDEX($E$3:$AI$3,MATCH($AN148&amp;BD$8&amp;ROW(N9),$E$16:$AI$16,0))&amp;"/"&amp;$AN$3,"")</f>
        <v/>
      </c>
    </row>
    <row r="149" spans="39:56" ht="18">
      <c r="AM149" s="30" t="e">
        <f t="shared" si="92"/>
        <v>#REF!</v>
      </c>
      <c r="AN149" s="27" t="e">
        <f t="shared" si="94"/>
        <v>#REF!</v>
      </c>
      <c r="AP149" s="46" t="str">
        <f t="shared" si="95"/>
        <v/>
      </c>
      <c r="AQ149" s="31" t="str">
        <f t="shared" si="95"/>
        <v/>
      </c>
      <c r="AR149" s="31" t="str">
        <f t="shared" si="95"/>
        <v/>
      </c>
      <c r="AS149" s="46" t="str">
        <f t="shared" si="95"/>
        <v/>
      </c>
      <c r="AT149" s="31" t="str">
        <f t="shared" si="95"/>
        <v/>
      </c>
      <c r="AU149" s="31" t="str">
        <f t="shared" si="95"/>
        <v/>
      </c>
      <c r="AV149" s="46" t="str">
        <f t="shared" si="96"/>
        <v/>
      </c>
      <c r="AW149" s="31" t="str">
        <f t="shared" si="96"/>
        <v/>
      </c>
      <c r="AX149" s="32" t="str">
        <f t="shared" si="96"/>
        <v/>
      </c>
      <c r="BB149" s="67" t="str">
        <f t="shared" si="93"/>
        <v/>
      </c>
      <c r="BC149" s="67" t="str">
        <f t="shared" si="93"/>
        <v/>
      </c>
      <c r="BD149" s="60" t="str">
        <f>IFERROR(INDEX($E$3:$AI$3,MATCH($AN149&amp;BD$8&amp;ROW(N10),$E$16:$AI$16,0))&amp;"/"&amp;$AN$3,"")</f>
        <v/>
      </c>
    </row>
    <row r="150" spans="39:56" ht="18.75" thickBot="1">
      <c r="AM150" s="51" t="e">
        <f t="shared" si="92"/>
        <v>#REF!</v>
      </c>
      <c r="AN150" s="28" t="e">
        <f t="shared" si="94"/>
        <v>#REF!</v>
      </c>
      <c r="AO150" s="26"/>
      <c r="AP150" s="52" t="str">
        <f t="shared" si="95"/>
        <v/>
      </c>
      <c r="AQ150" s="53" t="str">
        <f t="shared" si="95"/>
        <v/>
      </c>
      <c r="AR150" s="53" t="str">
        <f t="shared" si="95"/>
        <v/>
      </c>
      <c r="AS150" s="52" t="str">
        <f t="shared" si="95"/>
        <v/>
      </c>
      <c r="AT150" s="53" t="str">
        <f t="shared" si="95"/>
        <v/>
      </c>
      <c r="AU150" s="53" t="str">
        <f t="shared" si="95"/>
        <v/>
      </c>
      <c r="AV150" s="52" t="str">
        <f t="shared" si="96"/>
        <v/>
      </c>
      <c r="AW150" s="53" t="str">
        <f t="shared" si="96"/>
        <v/>
      </c>
      <c r="AX150" s="54" t="str">
        <f t="shared" si="96"/>
        <v/>
      </c>
      <c r="AZ150" s="26" t="str">
        <f>AP150</f>
        <v/>
      </c>
      <c r="BA150" s="29"/>
      <c r="BB150" s="67" t="str">
        <f t="shared" si="93"/>
        <v/>
      </c>
      <c r="BC150" s="67" t="str">
        <f t="shared" si="93"/>
        <v/>
      </c>
      <c r="BD150" s="61" t="str">
        <f>IFERROR(INDEX($E$3:$AI$3,MATCH($AN150&amp;BD$8&amp;ROW(N11),$E$16:$AI$16,0))&amp;"/"&amp;$AN$3,"")</f>
        <v/>
      </c>
    </row>
    <row r="151" spans="39:56" ht="15.75" thickBot="1">
      <c r="BA151" s="22"/>
      <c r="BB151" s="67" t="str">
        <f t="shared" si="93"/>
        <v/>
      </c>
      <c r="BC151" s="67" t="str">
        <f t="shared" si="93"/>
        <v/>
      </c>
    </row>
    <row r="152" spans="39:56" ht="20.25">
      <c r="AM152" s="39"/>
      <c r="AN152" s="40"/>
      <c r="AO152" s="36"/>
      <c r="AP152" s="45" t="s">
        <v>247</v>
      </c>
      <c r="AQ152" s="37" t="s">
        <v>248</v>
      </c>
      <c r="AR152" s="37" t="s">
        <v>249</v>
      </c>
      <c r="AS152" s="45" t="s">
        <v>250</v>
      </c>
      <c r="AT152" s="37" t="s">
        <v>251</v>
      </c>
      <c r="AU152" s="37" t="s">
        <v>252</v>
      </c>
      <c r="AV152" s="45" t="s">
        <v>253</v>
      </c>
      <c r="AW152" s="37" t="s">
        <v>254</v>
      </c>
      <c r="AX152" s="38" t="s">
        <v>255</v>
      </c>
      <c r="AZ152" s="35" t="str">
        <f>$AN$3&amp;" Total"</f>
        <v>7/2021 Total</v>
      </c>
      <c r="BA152" s="47"/>
      <c r="BB152" s="66" t="str">
        <f>IF(COUNTBLANK(AP153:AX153)=9,"","Leave")</f>
        <v/>
      </c>
      <c r="BC152" s="66" t="str">
        <f>IFERROR(VLOOKUP(AM153,#REF!,4,FALSE),"")</f>
        <v/>
      </c>
      <c r="BD152" s="58" t="s">
        <v>256</v>
      </c>
    </row>
    <row r="153" spans="39:56" ht="20.25">
      <c r="AM153" s="25" t="e">
        <f>B17</f>
        <v>#REF!</v>
      </c>
      <c r="AN153" s="34" t="e">
        <f>D17</f>
        <v>#REF!</v>
      </c>
      <c r="AP153" s="46" t="str">
        <f t="shared" ref="AP153:AU158" si="97">IFERROR(INDEX($E$3:$AI$3,MATCH($AN153&amp;AP$8&amp;ROW(A1),$E$17:$AI$17,0))&amp;"/"&amp;$AN$3,"")</f>
        <v/>
      </c>
      <c r="AQ153" s="31" t="str">
        <f t="shared" si="97"/>
        <v/>
      </c>
      <c r="AR153" s="31" t="str">
        <f t="shared" si="97"/>
        <v/>
      </c>
      <c r="AS153" s="46" t="str">
        <f t="shared" si="97"/>
        <v/>
      </c>
      <c r="AT153" s="31" t="str">
        <f t="shared" si="97"/>
        <v/>
      </c>
      <c r="AU153" s="31" t="str">
        <f t="shared" si="97"/>
        <v/>
      </c>
      <c r="AV153" s="46" t="str">
        <f t="shared" ref="AV153:AX158" si="98">IFERROR(INDEX($E$3:$AI$3,MATCH($AN153&amp;AV$8&amp;ROW(G1),$E$17:$AI$17,0))&amp;"/"&amp;$AN$3,"")</f>
        <v/>
      </c>
      <c r="AW153" s="31" t="str">
        <f t="shared" si="98"/>
        <v/>
      </c>
      <c r="AX153" s="32" t="str">
        <f t="shared" si="98"/>
        <v/>
      </c>
      <c r="AZ153" s="48" t="s">
        <v>257</v>
      </c>
      <c r="BA153" s="49">
        <f>COUNTA(AP153:AP162)-COUNTBLANK(AP153:AP162)+(COUNTA(AQ153:AQ162)-COUNTBLANK(AQ153:AQ162))*0.5+(COUNTA(AR153:AR162)-COUNTBLANK(AR153:AR162))*0.5</f>
        <v>0</v>
      </c>
      <c r="BB153" s="67" t="str">
        <f>BB152</f>
        <v/>
      </c>
      <c r="BC153" s="67" t="str">
        <f>BC152</f>
        <v/>
      </c>
      <c r="BD153" s="59" t="str">
        <f t="shared" ref="BD153:BD158" si="99">IFERROR(INDEX($E$3:$AI$3,MATCH($AN153&amp;BD$8&amp;ROW(N1),$E$17:$AI$17,0))&amp;"/"&amp;$AN$3,"")</f>
        <v/>
      </c>
    </row>
    <row r="154" spans="39:56" ht="18.75">
      <c r="AM154" s="30" t="e">
        <f t="shared" ref="AM154:AM162" si="100">AM153</f>
        <v>#REF!</v>
      </c>
      <c r="AN154" s="27" t="e">
        <f>AN153</f>
        <v>#REF!</v>
      </c>
      <c r="AP154" s="46" t="str">
        <f t="shared" si="97"/>
        <v/>
      </c>
      <c r="AQ154" s="31" t="str">
        <f t="shared" si="97"/>
        <v/>
      </c>
      <c r="AR154" s="31" t="str">
        <f t="shared" si="97"/>
        <v/>
      </c>
      <c r="AS154" s="46" t="str">
        <f t="shared" si="97"/>
        <v/>
      </c>
      <c r="AT154" s="31" t="str">
        <f t="shared" si="97"/>
        <v/>
      </c>
      <c r="AU154" s="31" t="str">
        <f t="shared" si="97"/>
        <v/>
      </c>
      <c r="AV154" s="46" t="str">
        <f t="shared" si="98"/>
        <v/>
      </c>
      <c r="AW154" s="31" t="str">
        <f t="shared" si="98"/>
        <v/>
      </c>
      <c r="AX154" s="32" t="str">
        <f t="shared" si="98"/>
        <v/>
      </c>
      <c r="AZ154" s="48" t="s">
        <v>258</v>
      </c>
      <c r="BA154" s="49">
        <f>COUNTA(AS153:AS162)-COUNTBLANK(AS153:AS162)+(COUNTA(AT153:AT162)-COUNTBLANK(AT153:AT162))*0.5+(COUNTA(AU153:AU162)-COUNTBLANK(AU153:AU162))*0.5</f>
        <v>0</v>
      </c>
      <c r="BB154" s="67" t="str">
        <f t="shared" ref="BB154:BC163" si="101">BB153</f>
        <v/>
      </c>
      <c r="BC154" s="67" t="str">
        <f t="shared" si="101"/>
        <v/>
      </c>
      <c r="BD154" s="60" t="str">
        <f t="shared" si="99"/>
        <v/>
      </c>
    </row>
    <row r="155" spans="39:56" ht="18.75">
      <c r="AM155" s="30" t="e">
        <f t="shared" si="100"/>
        <v>#REF!</v>
      </c>
      <c r="AN155" s="27" t="e">
        <f t="shared" ref="AN155:AN162" si="102">AN154</f>
        <v>#REF!</v>
      </c>
      <c r="AP155" s="46" t="str">
        <f t="shared" si="97"/>
        <v/>
      </c>
      <c r="AQ155" s="31" t="str">
        <f t="shared" si="97"/>
        <v/>
      </c>
      <c r="AR155" s="31" t="str">
        <f t="shared" si="97"/>
        <v/>
      </c>
      <c r="AS155" s="46" t="str">
        <f t="shared" si="97"/>
        <v/>
      </c>
      <c r="AT155" s="31" t="str">
        <f t="shared" si="97"/>
        <v/>
      </c>
      <c r="AU155" s="31" t="str">
        <f t="shared" si="97"/>
        <v/>
      </c>
      <c r="AV155" s="46" t="str">
        <f t="shared" si="98"/>
        <v/>
      </c>
      <c r="AW155" s="31" t="str">
        <f t="shared" si="98"/>
        <v/>
      </c>
      <c r="AX155" s="32" t="str">
        <f t="shared" si="98"/>
        <v/>
      </c>
      <c r="AZ155" s="48" t="s">
        <v>259</v>
      </c>
      <c r="BA155" s="49">
        <f>COUNTA(AV153:AV162)-COUNTBLANK(AV153:AV162)+(COUNTA(AW153:AW162)-COUNTBLANK(AW153:AW162))*0.5+(COUNTA(AX153:AX162)-COUNTBLANK(AX153:AX162))*0.5</f>
        <v>0</v>
      </c>
      <c r="BB155" s="67" t="str">
        <f t="shared" si="101"/>
        <v/>
      </c>
      <c r="BC155" s="67" t="str">
        <f t="shared" si="101"/>
        <v/>
      </c>
      <c r="BD155" s="60" t="str">
        <f t="shared" si="99"/>
        <v/>
      </c>
    </row>
    <row r="156" spans="39:56" ht="20.25">
      <c r="AM156" s="30" t="e">
        <f t="shared" si="100"/>
        <v>#REF!</v>
      </c>
      <c r="AN156" s="27" t="e">
        <f t="shared" si="102"/>
        <v>#REF!</v>
      </c>
      <c r="AP156" s="46" t="str">
        <f t="shared" si="97"/>
        <v/>
      </c>
      <c r="AQ156" s="31" t="str">
        <f t="shared" si="97"/>
        <v/>
      </c>
      <c r="AR156" s="31" t="str">
        <f t="shared" si="97"/>
        <v/>
      </c>
      <c r="AS156" s="46" t="str">
        <f t="shared" si="97"/>
        <v/>
      </c>
      <c r="AT156" s="31" t="str">
        <f t="shared" si="97"/>
        <v/>
      </c>
      <c r="AU156" s="31" t="str">
        <f t="shared" si="97"/>
        <v/>
      </c>
      <c r="AV156" s="46" t="str">
        <f t="shared" si="98"/>
        <v/>
      </c>
      <c r="AW156" s="31" t="str">
        <f t="shared" si="98"/>
        <v/>
      </c>
      <c r="AX156" s="32" t="str">
        <f t="shared" si="98"/>
        <v/>
      </c>
      <c r="AZ156" s="33"/>
      <c r="BA156" s="23"/>
      <c r="BB156" s="67" t="str">
        <f t="shared" si="101"/>
        <v/>
      </c>
      <c r="BC156" s="67" t="str">
        <f t="shared" si="101"/>
        <v/>
      </c>
      <c r="BD156" s="60" t="str">
        <f t="shared" si="99"/>
        <v/>
      </c>
    </row>
    <row r="157" spans="39:56" ht="18">
      <c r="AM157" s="30" t="e">
        <f t="shared" si="100"/>
        <v>#REF!</v>
      </c>
      <c r="AN157" s="27" t="e">
        <f t="shared" si="102"/>
        <v>#REF!</v>
      </c>
      <c r="AP157" s="46" t="str">
        <f t="shared" si="97"/>
        <v/>
      </c>
      <c r="AQ157" s="31" t="str">
        <f t="shared" si="97"/>
        <v/>
      </c>
      <c r="AR157" s="31" t="str">
        <f t="shared" si="97"/>
        <v/>
      </c>
      <c r="AS157" s="46" t="str">
        <f t="shared" si="97"/>
        <v/>
      </c>
      <c r="AT157" s="31" t="str">
        <f t="shared" si="97"/>
        <v/>
      </c>
      <c r="AU157" s="31" t="str">
        <f t="shared" si="97"/>
        <v/>
      </c>
      <c r="AV157" s="46" t="str">
        <f t="shared" si="98"/>
        <v/>
      </c>
      <c r="AW157" s="31" t="str">
        <f t="shared" si="98"/>
        <v/>
      </c>
      <c r="AX157" s="32" t="str">
        <f t="shared" si="98"/>
        <v/>
      </c>
      <c r="AZ157" s="33"/>
      <c r="BB157" s="67" t="str">
        <f t="shared" si="101"/>
        <v/>
      </c>
      <c r="BC157" s="67" t="str">
        <f t="shared" si="101"/>
        <v/>
      </c>
      <c r="BD157" s="60" t="str">
        <f t="shared" si="99"/>
        <v/>
      </c>
    </row>
    <row r="158" spans="39:56" ht="20.25">
      <c r="AM158" s="30" t="e">
        <f t="shared" si="100"/>
        <v>#REF!</v>
      </c>
      <c r="AN158" s="27" t="e">
        <f t="shared" si="102"/>
        <v>#REF!</v>
      </c>
      <c r="AP158" s="46" t="str">
        <f t="shared" si="97"/>
        <v/>
      </c>
      <c r="AQ158" s="31" t="str">
        <f t="shared" si="97"/>
        <v/>
      </c>
      <c r="AR158" s="31" t="str">
        <f t="shared" si="97"/>
        <v/>
      </c>
      <c r="AS158" s="46" t="str">
        <f t="shared" si="97"/>
        <v/>
      </c>
      <c r="AT158" s="31" t="str">
        <f t="shared" si="97"/>
        <v/>
      </c>
      <c r="AU158" s="31" t="str">
        <f t="shared" si="97"/>
        <v/>
      </c>
      <c r="AV158" s="46" t="str">
        <f t="shared" si="98"/>
        <v/>
      </c>
      <c r="AW158" s="31" t="str">
        <f t="shared" si="98"/>
        <v/>
      </c>
      <c r="AX158" s="32" t="str">
        <f t="shared" si="98"/>
        <v/>
      </c>
      <c r="AZ158" s="23" t="s">
        <v>260</v>
      </c>
      <c r="BB158" s="67" t="str">
        <f t="shared" si="101"/>
        <v/>
      </c>
      <c r="BC158" s="67" t="str">
        <f t="shared" si="101"/>
        <v/>
      </c>
      <c r="BD158" s="60" t="str">
        <f t="shared" si="99"/>
        <v/>
      </c>
    </row>
    <row r="159" spans="39:56" ht="18">
      <c r="AM159" s="30" t="e">
        <f t="shared" si="100"/>
        <v>#REF!</v>
      </c>
      <c r="AN159" s="27" t="e">
        <f t="shared" si="102"/>
        <v>#REF!</v>
      </c>
      <c r="AP159" s="46" t="str">
        <f t="shared" ref="AP159:AU162" si="103">IFERROR(INDEX($E$3:$AI$3,MATCH($AN159&amp;AP$8&amp;ROW(A8),$E$17:$AI$17,0))&amp;"/"&amp;$AN$3,"")</f>
        <v/>
      </c>
      <c r="AQ159" s="31" t="str">
        <f t="shared" si="103"/>
        <v/>
      </c>
      <c r="AR159" s="31" t="str">
        <f t="shared" si="103"/>
        <v/>
      </c>
      <c r="AS159" s="46" t="str">
        <f t="shared" si="103"/>
        <v/>
      </c>
      <c r="AT159" s="31" t="str">
        <f t="shared" si="103"/>
        <v/>
      </c>
      <c r="AU159" s="31" t="str">
        <f t="shared" si="103"/>
        <v/>
      </c>
      <c r="AV159" s="46" t="str">
        <f t="shared" ref="AV159:AX162" si="104">IFERROR(INDEX($E$3:$AI$3,MATCH($AN159&amp;AV$8&amp;ROW(G8),$E$17:$AI$17,0))&amp;"/"&amp;$AN$3,"")</f>
        <v/>
      </c>
      <c r="AW159" s="31" t="str">
        <f t="shared" si="104"/>
        <v/>
      </c>
      <c r="AX159" s="32" t="str">
        <f t="shared" si="104"/>
        <v/>
      </c>
      <c r="AZ159" s="33"/>
      <c r="BB159" s="67" t="str">
        <f t="shared" si="101"/>
        <v/>
      </c>
      <c r="BC159" s="67" t="str">
        <f t="shared" si="101"/>
        <v/>
      </c>
      <c r="BD159" s="60" t="str">
        <f>IFERROR(INDEX($E$3:$AI$3,MATCH($AN159&amp;BD$8&amp;ROW(N8),$E$17:$AI$17,0))&amp;"/"&amp;$AN$3,"")</f>
        <v/>
      </c>
    </row>
    <row r="160" spans="39:56" ht="18">
      <c r="AM160" s="30" t="e">
        <f t="shared" si="100"/>
        <v>#REF!</v>
      </c>
      <c r="AN160" s="27" t="e">
        <f t="shared" si="102"/>
        <v>#REF!</v>
      </c>
      <c r="AP160" s="46" t="str">
        <f t="shared" si="103"/>
        <v/>
      </c>
      <c r="AQ160" s="31" t="str">
        <f t="shared" si="103"/>
        <v/>
      </c>
      <c r="AR160" s="31" t="str">
        <f t="shared" si="103"/>
        <v/>
      </c>
      <c r="AS160" s="46" t="str">
        <f t="shared" si="103"/>
        <v/>
      </c>
      <c r="AT160" s="31" t="str">
        <f t="shared" si="103"/>
        <v/>
      </c>
      <c r="AU160" s="31" t="str">
        <f t="shared" si="103"/>
        <v/>
      </c>
      <c r="AV160" s="46" t="str">
        <f t="shared" si="104"/>
        <v/>
      </c>
      <c r="AW160" s="31" t="str">
        <f t="shared" si="104"/>
        <v/>
      </c>
      <c r="AX160" s="32" t="str">
        <f t="shared" si="104"/>
        <v/>
      </c>
      <c r="BB160" s="67" t="str">
        <f t="shared" si="101"/>
        <v/>
      </c>
      <c r="BC160" s="67" t="str">
        <f t="shared" si="101"/>
        <v/>
      </c>
      <c r="BD160" s="60" t="str">
        <f>IFERROR(INDEX($E$3:$AI$3,MATCH($AN160&amp;BD$8&amp;ROW(N9),$E$17:$AI$17,0))&amp;"/"&amp;$AN$3,"")</f>
        <v/>
      </c>
    </row>
    <row r="161" spans="39:56" ht="18">
      <c r="AM161" s="30" t="e">
        <f t="shared" si="100"/>
        <v>#REF!</v>
      </c>
      <c r="AN161" s="27" t="e">
        <f t="shared" si="102"/>
        <v>#REF!</v>
      </c>
      <c r="AP161" s="46" t="str">
        <f t="shared" si="103"/>
        <v/>
      </c>
      <c r="AQ161" s="31" t="str">
        <f t="shared" si="103"/>
        <v/>
      </c>
      <c r="AR161" s="31" t="str">
        <f t="shared" si="103"/>
        <v/>
      </c>
      <c r="AS161" s="46" t="str">
        <f t="shared" si="103"/>
        <v/>
      </c>
      <c r="AT161" s="31" t="str">
        <f t="shared" si="103"/>
        <v/>
      </c>
      <c r="AU161" s="31" t="str">
        <f t="shared" si="103"/>
        <v/>
      </c>
      <c r="AV161" s="46" t="str">
        <f t="shared" si="104"/>
        <v/>
      </c>
      <c r="AW161" s="31" t="str">
        <f t="shared" si="104"/>
        <v/>
      </c>
      <c r="AX161" s="32" t="str">
        <f t="shared" si="104"/>
        <v/>
      </c>
      <c r="BB161" s="67" t="str">
        <f t="shared" si="101"/>
        <v/>
      </c>
      <c r="BC161" s="67" t="str">
        <f t="shared" si="101"/>
        <v/>
      </c>
      <c r="BD161" s="60" t="str">
        <f>IFERROR(INDEX($E$3:$AI$3,MATCH($AN161&amp;BD$8&amp;ROW(N10),$E$17:$AI$17,0))&amp;"/"&amp;$AN$3,"")</f>
        <v/>
      </c>
    </row>
    <row r="162" spans="39:56" ht="18.75" thickBot="1">
      <c r="AM162" s="51" t="e">
        <f t="shared" si="100"/>
        <v>#REF!</v>
      </c>
      <c r="AN162" s="28" t="e">
        <f t="shared" si="102"/>
        <v>#REF!</v>
      </c>
      <c r="AO162" s="26"/>
      <c r="AP162" s="52" t="str">
        <f t="shared" si="103"/>
        <v/>
      </c>
      <c r="AQ162" s="53" t="str">
        <f t="shared" si="103"/>
        <v/>
      </c>
      <c r="AR162" s="53" t="str">
        <f t="shared" si="103"/>
        <v/>
      </c>
      <c r="AS162" s="52" t="str">
        <f t="shared" si="103"/>
        <v/>
      </c>
      <c r="AT162" s="53" t="str">
        <f t="shared" si="103"/>
        <v/>
      </c>
      <c r="AU162" s="53" t="str">
        <f t="shared" si="103"/>
        <v/>
      </c>
      <c r="AV162" s="52" t="str">
        <f t="shared" si="104"/>
        <v/>
      </c>
      <c r="AW162" s="53" t="str">
        <f t="shared" si="104"/>
        <v/>
      </c>
      <c r="AX162" s="54" t="str">
        <f t="shared" si="104"/>
        <v/>
      </c>
      <c r="AZ162" s="26" t="str">
        <f>AP162</f>
        <v/>
      </c>
      <c r="BA162" s="29"/>
      <c r="BB162" s="67" t="str">
        <f t="shared" si="101"/>
        <v/>
      </c>
      <c r="BC162" s="67" t="str">
        <f t="shared" si="101"/>
        <v/>
      </c>
      <c r="BD162" s="61" t="str">
        <f>IFERROR(INDEX($E$3:$AI$3,MATCH($AN162&amp;BD$8&amp;ROW(N11),$E$17:$AI$17,0))&amp;"/"&amp;$AN$3,"")</f>
        <v/>
      </c>
    </row>
    <row r="163" spans="39:56" ht="15.75" thickBot="1">
      <c r="BA163" s="22"/>
      <c r="BB163" s="67" t="str">
        <f t="shared" si="101"/>
        <v/>
      </c>
      <c r="BC163" s="67" t="str">
        <f t="shared" si="101"/>
        <v/>
      </c>
    </row>
    <row r="164" spans="39:56" ht="20.25">
      <c r="AM164" s="39"/>
      <c r="AN164" s="40"/>
      <c r="AO164" s="36"/>
      <c r="AP164" s="45" t="s">
        <v>247</v>
      </c>
      <c r="AQ164" s="37" t="s">
        <v>248</v>
      </c>
      <c r="AR164" s="37" t="s">
        <v>249</v>
      </c>
      <c r="AS164" s="45" t="s">
        <v>250</v>
      </c>
      <c r="AT164" s="37" t="s">
        <v>251</v>
      </c>
      <c r="AU164" s="37" t="s">
        <v>252</v>
      </c>
      <c r="AV164" s="45" t="s">
        <v>253</v>
      </c>
      <c r="AW164" s="37" t="s">
        <v>254</v>
      </c>
      <c r="AX164" s="38" t="s">
        <v>255</v>
      </c>
      <c r="AZ164" s="35" t="str">
        <f>$AN$3&amp;" Total"</f>
        <v>7/2021 Total</v>
      </c>
      <c r="BA164" s="47"/>
      <c r="BB164" s="66" t="str">
        <f>IF(COUNTBLANK(AP165:AX165)=9,"","Leave")</f>
        <v/>
      </c>
      <c r="BC164" s="66" t="str">
        <f>IFERROR(VLOOKUP(AM165,#REF!,4,FALSE),"")</f>
        <v/>
      </c>
      <c r="BD164" s="58" t="s">
        <v>256</v>
      </c>
    </row>
    <row r="165" spans="39:56" ht="20.25">
      <c r="AM165" s="25" t="e">
        <f>B18</f>
        <v>#REF!</v>
      </c>
      <c r="AN165" s="34" t="e">
        <f>D18</f>
        <v>#REF!</v>
      </c>
      <c r="AP165" s="46" t="str">
        <f t="shared" ref="AP165:AR170" si="105">IFERROR(INDEX($E$3:$AI$3,MATCH($AN165&amp;AP$8&amp;ROW(A1),$E$18:$AI$18,0))&amp;"/"&amp;$AN$3,"")</f>
        <v/>
      </c>
      <c r="AQ165" s="31" t="str">
        <f t="shared" si="105"/>
        <v/>
      </c>
      <c r="AR165" s="31" t="str">
        <f t="shared" si="105"/>
        <v/>
      </c>
      <c r="AS165" s="46" t="str">
        <f t="shared" ref="AS165:AU170" si="106">IFERROR(INDEX($E$3:$AI$3,MATCH($AN165&amp;AS$8&amp;ROW(D1),$E$18:$AI$18,0))&amp;"/"&amp;$AN$3,"")</f>
        <v/>
      </c>
      <c r="AT165" s="31" t="str">
        <f t="shared" si="106"/>
        <v/>
      </c>
      <c r="AU165" s="31" t="str">
        <f t="shared" si="106"/>
        <v/>
      </c>
      <c r="AV165" s="46" t="str">
        <f t="shared" ref="AV165:AX170" si="107">IFERROR(INDEX($E$3:$AI$3,MATCH($AN165&amp;AV$8&amp;ROW(G1),$E$18:$AI$18,0))&amp;"/"&amp;$AN$3,"")</f>
        <v/>
      </c>
      <c r="AW165" s="31" t="str">
        <f t="shared" si="107"/>
        <v/>
      </c>
      <c r="AX165" s="32" t="str">
        <f t="shared" si="107"/>
        <v/>
      </c>
      <c r="AZ165" s="48" t="s">
        <v>257</v>
      </c>
      <c r="BA165" s="49">
        <f>COUNTA(AP165:AP174)-COUNTBLANK(AP165:AP174)+(COUNTA(AQ165:AQ174)-COUNTBLANK(AQ165:AQ174))*0.5+(COUNTA(AR165:AR174)-COUNTBLANK(AR165:AR174))*0.5</f>
        <v>0</v>
      </c>
      <c r="BB165" s="67" t="str">
        <f>BB164</f>
        <v/>
      </c>
      <c r="BC165" s="67" t="str">
        <f>BC164</f>
        <v/>
      </c>
      <c r="BD165" s="59" t="str">
        <f t="shared" ref="BD165:BD170" si="108">IFERROR(INDEX($E$3:$AI$3,MATCH($AN165&amp;BD$8&amp;ROW(N1),$E$18:$AI$18,0))&amp;"/"&amp;$AN$3,"")</f>
        <v/>
      </c>
    </row>
    <row r="166" spans="39:56" ht="18.75">
      <c r="AM166" s="30" t="e">
        <f t="shared" ref="AM166:AM174" si="109">AM165</f>
        <v>#REF!</v>
      </c>
      <c r="AN166" s="27" t="e">
        <f>AN165</f>
        <v>#REF!</v>
      </c>
      <c r="AP166" s="46" t="str">
        <f t="shared" si="105"/>
        <v/>
      </c>
      <c r="AQ166" s="31" t="str">
        <f t="shared" si="105"/>
        <v/>
      </c>
      <c r="AR166" s="31" t="str">
        <f t="shared" si="105"/>
        <v/>
      </c>
      <c r="AS166" s="46" t="str">
        <f t="shared" si="106"/>
        <v/>
      </c>
      <c r="AT166" s="31" t="str">
        <f t="shared" si="106"/>
        <v/>
      </c>
      <c r="AU166" s="31" t="str">
        <f t="shared" si="106"/>
        <v/>
      </c>
      <c r="AV166" s="46" t="str">
        <f t="shared" si="107"/>
        <v/>
      </c>
      <c r="AW166" s="31" t="str">
        <f t="shared" si="107"/>
        <v/>
      </c>
      <c r="AX166" s="32" t="str">
        <f t="shared" si="107"/>
        <v/>
      </c>
      <c r="AZ166" s="48" t="s">
        <v>258</v>
      </c>
      <c r="BA166" s="49">
        <f>COUNTA(AS165:AS174)-COUNTBLANK(AS165:AS174)+(COUNTA(AT165:AT174)-COUNTBLANK(AT165:AT174))*0.5+(COUNTA(AU165:AU174)-COUNTBLANK(AU165:AU174))*0.5</f>
        <v>0</v>
      </c>
      <c r="BB166" s="67" t="str">
        <f t="shared" ref="BB166:BC175" si="110">BB165</f>
        <v/>
      </c>
      <c r="BC166" s="67" t="str">
        <f t="shared" si="110"/>
        <v/>
      </c>
      <c r="BD166" s="60" t="str">
        <f t="shared" si="108"/>
        <v/>
      </c>
    </row>
    <row r="167" spans="39:56" ht="18.75">
      <c r="AM167" s="30" t="e">
        <f t="shared" si="109"/>
        <v>#REF!</v>
      </c>
      <c r="AN167" s="27" t="e">
        <f t="shared" ref="AN167:AN174" si="111">AN166</f>
        <v>#REF!</v>
      </c>
      <c r="AP167" s="46" t="str">
        <f t="shared" si="105"/>
        <v/>
      </c>
      <c r="AQ167" s="31" t="str">
        <f t="shared" si="105"/>
        <v/>
      </c>
      <c r="AR167" s="31" t="str">
        <f t="shared" si="105"/>
        <v/>
      </c>
      <c r="AS167" s="46" t="str">
        <f t="shared" si="106"/>
        <v/>
      </c>
      <c r="AT167" s="31" t="str">
        <f t="shared" si="106"/>
        <v/>
      </c>
      <c r="AU167" s="31" t="str">
        <f t="shared" si="106"/>
        <v/>
      </c>
      <c r="AV167" s="46" t="str">
        <f t="shared" si="107"/>
        <v/>
      </c>
      <c r="AW167" s="31" t="str">
        <f t="shared" si="107"/>
        <v/>
      </c>
      <c r="AX167" s="32" t="str">
        <f t="shared" si="107"/>
        <v/>
      </c>
      <c r="AZ167" s="48" t="s">
        <v>259</v>
      </c>
      <c r="BA167" s="49">
        <f>COUNTA(AV165:AV174)-COUNTBLANK(AV165:AV174)+(COUNTA(AW165:AW174)-COUNTBLANK(AW165:AW174))*0.5+(COUNTA(AX165:AX174)-COUNTBLANK(AX165:AX174))*0.5</f>
        <v>0</v>
      </c>
      <c r="BB167" s="67" t="str">
        <f t="shared" si="110"/>
        <v/>
      </c>
      <c r="BC167" s="67" t="str">
        <f t="shared" si="110"/>
        <v/>
      </c>
      <c r="BD167" s="60" t="str">
        <f t="shared" si="108"/>
        <v/>
      </c>
    </row>
    <row r="168" spans="39:56" ht="20.25">
      <c r="AM168" s="30" t="e">
        <f t="shared" si="109"/>
        <v>#REF!</v>
      </c>
      <c r="AN168" s="27" t="e">
        <f t="shared" si="111"/>
        <v>#REF!</v>
      </c>
      <c r="AP168" s="46" t="str">
        <f t="shared" si="105"/>
        <v/>
      </c>
      <c r="AQ168" s="31" t="str">
        <f t="shared" si="105"/>
        <v/>
      </c>
      <c r="AR168" s="31" t="str">
        <f t="shared" si="105"/>
        <v/>
      </c>
      <c r="AS168" s="46" t="str">
        <f t="shared" si="106"/>
        <v/>
      </c>
      <c r="AT168" s="31" t="str">
        <f t="shared" si="106"/>
        <v/>
      </c>
      <c r="AU168" s="31" t="str">
        <f t="shared" si="106"/>
        <v/>
      </c>
      <c r="AV168" s="46" t="str">
        <f t="shared" si="107"/>
        <v/>
      </c>
      <c r="AW168" s="31" t="str">
        <f t="shared" si="107"/>
        <v/>
      </c>
      <c r="AX168" s="32" t="str">
        <f t="shared" si="107"/>
        <v/>
      </c>
      <c r="AZ168" s="33"/>
      <c r="BA168" s="23"/>
      <c r="BB168" s="67" t="str">
        <f t="shared" si="110"/>
        <v/>
      </c>
      <c r="BC168" s="67" t="str">
        <f t="shared" si="110"/>
        <v/>
      </c>
      <c r="BD168" s="60" t="str">
        <f t="shared" si="108"/>
        <v/>
      </c>
    </row>
    <row r="169" spans="39:56" ht="18">
      <c r="AM169" s="30" t="e">
        <f t="shared" si="109"/>
        <v>#REF!</v>
      </c>
      <c r="AN169" s="27" t="e">
        <f t="shared" si="111"/>
        <v>#REF!</v>
      </c>
      <c r="AP169" s="46" t="str">
        <f t="shared" si="105"/>
        <v/>
      </c>
      <c r="AQ169" s="31" t="str">
        <f t="shared" si="105"/>
        <v/>
      </c>
      <c r="AR169" s="31" t="str">
        <f t="shared" si="105"/>
        <v/>
      </c>
      <c r="AS169" s="46" t="str">
        <f t="shared" si="106"/>
        <v/>
      </c>
      <c r="AT169" s="31" t="str">
        <f t="shared" si="106"/>
        <v/>
      </c>
      <c r="AU169" s="31" t="str">
        <f t="shared" si="106"/>
        <v/>
      </c>
      <c r="AV169" s="46" t="str">
        <f t="shared" si="107"/>
        <v/>
      </c>
      <c r="AW169" s="31" t="str">
        <f t="shared" si="107"/>
        <v/>
      </c>
      <c r="AX169" s="32" t="str">
        <f t="shared" si="107"/>
        <v/>
      </c>
      <c r="AZ169" s="33"/>
      <c r="BB169" s="67" t="str">
        <f t="shared" si="110"/>
        <v/>
      </c>
      <c r="BC169" s="67" t="str">
        <f t="shared" si="110"/>
        <v/>
      </c>
      <c r="BD169" s="60" t="str">
        <f t="shared" si="108"/>
        <v/>
      </c>
    </row>
    <row r="170" spans="39:56" ht="20.25">
      <c r="AM170" s="30" t="e">
        <f t="shared" si="109"/>
        <v>#REF!</v>
      </c>
      <c r="AN170" s="27" t="e">
        <f t="shared" si="111"/>
        <v>#REF!</v>
      </c>
      <c r="AP170" s="46" t="str">
        <f t="shared" si="105"/>
        <v/>
      </c>
      <c r="AQ170" s="31" t="str">
        <f t="shared" si="105"/>
        <v/>
      </c>
      <c r="AR170" s="31" t="str">
        <f t="shared" si="105"/>
        <v/>
      </c>
      <c r="AS170" s="46" t="str">
        <f t="shared" si="106"/>
        <v/>
      </c>
      <c r="AT170" s="31" t="str">
        <f t="shared" si="106"/>
        <v/>
      </c>
      <c r="AU170" s="31" t="str">
        <f t="shared" si="106"/>
        <v/>
      </c>
      <c r="AV170" s="46" t="str">
        <f t="shared" si="107"/>
        <v/>
      </c>
      <c r="AW170" s="31" t="str">
        <f t="shared" si="107"/>
        <v/>
      </c>
      <c r="AX170" s="32" t="str">
        <f t="shared" si="107"/>
        <v/>
      </c>
      <c r="AZ170" s="23" t="s">
        <v>260</v>
      </c>
      <c r="BB170" s="67" t="str">
        <f t="shared" si="110"/>
        <v/>
      </c>
      <c r="BC170" s="67" t="str">
        <f t="shared" si="110"/>
        <v/>
      </c>
      <c r="BD170" s="60" t="str">
        <f t="shared" si="108"/>
        <v/>
      </c>
    </row>
    <row r="171" spans="39:56" ht="18">
      <c r="AM171" s="30" t="e">
        <f t="shared" si="109"/>
        <v>#REF!</v>
      </c>
      <c r="AN171" s="27" t="e">
        <f t="shared" si="111"/>
        <v>#REF!</v>
      </c>
      <c r="AP171" s="46" t="str">
        <f t="shared" ref="AP171:AR174" si="112">IFERROR(INDEX($E$3:$AI$3,MATCH($AN171&amp;AP$8&amp;ROW(A8),$E$18:$AI$18,0))&amp;"/"&amp;$AN$3,"")</f>
        <v/>
      </c>
      <c r="AQ171" s="31" t="str">
        <f t="shared" si="112"/>
        <v/>
      </c>
      <c r="AR171" s="31" t="str">
        <f t="shared" si="112"/>
        <v/>
      </c>
      <c r="AS171" s="46" t="str">
        <f t="shared" ref="AS171:AU174" si="113">IFERROR(INDEX($E$3:$AI$3,MATCH($AN171&amp;AS$8&amp;ROW(D8),$E$18:$AI$18,0))&amp;"/"&amp;$AN$3,"")</f>
        <v/>
      </c>
      <c r="AT171" s="31" t="str">
        <f t="shared" si="113"/>
        <v/>
      </c>
      <c r="AU171" s="31" t="str">
        <f t="shared" si="113"/>
        <v/>
      </c>
      <c r="AV171" s="46" t="str">
        <f t="shared" ref="AV171:AX174" si="114">IFERROR(INDEX($E$3:$AI$3,MATCH($AN171&amp;AV$8&amp;ROW(G8),$E$18:$AI$18,0))&amp;"/"&amp;$AN$3,"")</f>
        <v/>
      </c>
      <c r="AW171" s="31" t="str">
        <f t="shared" si="114"/>
        <v/>
      </c>
      <c r="AX171" s="32" t="str">
        <f t="shared" si="114"/>
        <v/>
      </c>
      <c r="AZ171" s="33"/>
      <c r="BB171" s="67" t="str">
        <f t="shared" si="110"/>
        <v/>
      </c>
      <c r="BC171" s="67" t="str">
        <f t="shared" si="110"/>
        <v/>
      </c>
      <c r="BD171" s="60" t="str">
        <f>IFERROR(INDEX($E$3:$AI$3,MATCH($AN171&amp;BD$8&amp;ROW(N8),$E$18:$AI$18,0))&amp;"/"&amp;$AN$3,"")</f>
        <v/>
      </c>
    </row>
    <row r="172" spans="39:56" ht="18">
      <c r="AM172" s="30" t="e">
        <f t="shared" si="109"/>
        <v>#REF!</v>
      </c>
      <c r="AN172" s="27" t="e">
        <f t="shared" si="111"/>
        <v>#REF!</v>
      </c>
      <c r="AP172" s="46" t="str">
        <f t="shared" si="112"/>
        <v/>
      </c>
      <c r="AQ172" s="31" t="str">
        <f t="shared" si="112"/>
        <v/>
      </c>
      <c r="AR172" s="31" t="str">
        <f t="shared" si="112"/>
        <v/>
      </c>
      <c r="AS172" s="46" t="str">
        <f t="shared" si="113"/>
        <v/>
      </c>
      <c r="AT172" s="31" t="str">
        <f t="shared" si="113"/>
        <v/>
      </c>
      <c r="AU172" s="31" t="str">
        <f t="shared" si="113"/>
        <v/>
      </c>
      <c r="AV172" s="46" t="str">
        <f t="shared" si="114"/>
        <v/>
      </c>
      <c r="AW172" s="31" t="str">
        <f t="shared" si="114"/>
        <v/>
      </c>
      <c r="AX172" s="32" t="str">
        <f t="shared" si="114"/>
        <v/>
      </c>
      <c r="BB172" s="67" t="str">
        <f t="shared" si="110"/>
        <v/>
      </c>
      <c r="BC172" s="67" t="str">
        <f t="shared" si="110"/>
        <v/>
      </c>
      <c r="BD172" s="60" t="str">
        <f>IFERROR(INDEX($E$3:$AI$3,MATCH($AN172&amp;BD$8&amp;ROW(N9),$E$18:$AI$18,0))&amp;"/"&amp;$AN$3,"")</f>
        <v/>
      </c>
    </row>
    <row r="173" spans="39:56" ht="18">
      <c r="AM173" s="30" t="e">
        <f t="shared" si="109"/>
        <v>#REF!</v>
      </c>
      <c r="AN173" s="27" t="e">
        <f t="shared" si="111"/>
        <v>#REF!</v>
      </c>
      <c r="AP173" s="46" t="str">
        <f t="shared" si="112"/>
        <v/>
      </c>
      <c r="AQ173" s="31" t="str">
        <f t="shared" si="112"/>
        <v/>
      </c>
      <c r="AR173" s="31" t="str">
        <f t="shared" si="112"/>
        <v/>
      </c>
      <c r="AS173" s="46" t="str">
        <f t="shared" si="113"/>
        <v/>
      </c>
      <c r="AT173" s="31" t="str">
        <f t="shared" si="113"/>
        <v/>
      </c>
      <c r="AU173" s="31" t="str">
        <f t="shared" si="113"/>
        <v/>
      </c>
      <c r="AV173" s="46" t="str">
        <f t="shared" si="114"/>
        <v/>
      </c>
      <c r="AW173" s="31" t="str">
        <f t="shared" si="114"/>
        <v/>
      </c>
      <c r="AX173" s="32" t="str">
        <f t="shared" si="114"/>
        <v/>
      </c>
      <c r="BB173" s="67" t="str">
        <f t="shared" si="110"/>
        <v/>
      </c>
      <c r="BC173" s="67" t="str">
        <f t="shared" si="110"/>
        <v/>
      </c>
      <c r="BD173" s="60" t="str">
        <f>IFERROR(INDEX($E$3:$AI$3,MATCH($AN173&amp;BD$8&amp;ROW(N10),$E$18:$AI$18,0))&amp;"/"&amp;$AN$3,"")</f>
        <v/>
      </c>
    </row>
    <row r="174" spans="39:56" ht="18.75" thickBot="1">
      <c r="AM174" s="51" t="e">
        <f t="shared" si="109"/>
        <v>#REF!</v>
      </c>
      <c r="AN174" s="28" t="e">
        <f t="shared" si="111"/>
        <v>#REF!</v>
      </c>
      <c r="AO174" s="26"/>
      <c r="AP174" s="52" t="str">
        <f t="shared" si="112"/>
        <v/>
      </c>
      <c r="AQ174" s="53" t="str">
        <f t="shared" si="112"/>
        <v/>
      </c>
      <c r="AR174" s="53" t="str">
        <f t="shared" si="112"/>
        <v/>
      </c>
      <c r="AS174" s="52" t="str">
        <f t="shared" si="113"/>
        <v/>
      </c>
      <c r="AT174" s="53" t="str">
        <f t="shared" si="113"/>
        <v/>
      </c>
      <c r="AU174" s="53" t="str">
        <f t="shared" si="113"/>
        <v/>
      </c>
      <c r="AV174" s="52" t="str">
        <f t="shared" si="114"/>
        <v/>
      </c>
      <c r="AW174" s="53" t="str">
        <f t="shared" si="114"/>
        <v/>
      </c>
      <c r="AX174" s="54" t="str">
        <f t="shared" si="114"/>
        <v/>
      </c>
      <c r="AZ174" s="26" t="str">
        <f>AP174</f>
        <v/>
      </c>
      <c r="BA174" s="29"/>
      <c r="BB174" s="67" t="str">
        <f t="shared" si="110"/>
        <v/>
      </c>
      <c r="BC174" s="67" t="str">
        <f t="shared" si="110"/>
        <v/>
      </c>
      <c r="BD174" s="61" t="str">
        <f>IFERROR(INDEX($E$3:$AI$3,MATCH($AN174&amp;BD$8&amp;ROW(N11),$E$18:$AI$18,0))&amp;"/"&amp;$AN$3,"")</f>
        <v/>
      </c>
    </row>
    <row r="175" spans="39:56" ht="15.75" thickBot="1">
      <c r="BA175" s="22"/>
      <c r="BB175" s="67" t="str">
        <f t="shared" si="110"/>
        <v/>
      </c>
      <c r="BC175" s="67" t="str">
        <f t="shared" si="110"/>
        <v/>
      </c>
    </row>
    <row r="176" spans="39:56" ht="20.25">
      <c r="AM176" s="39"/>
      <c r="AN176" s="40"/>
      <c r="AO176" s="36"/>
      <c r="AP176" s="45" t="s">
        <v>247</v>
      </c>
      <c r="AQ176" s="37" t="s">
        <v>248</v>
      </c>
      <c r="AR176" s="37" t="s">
        <v>249</v>
      </c>
      <c r="AS176" s="45" t="s">
        <v>250</v>
      </c>
      <c r="AT176" s="37" t="s">
        <v>251</v>
      </c>
      <c r="AU176" s="37" t="s">
        <v>252</v>
      </c>
      <c r="AV176" s="45" t="s">
        <v>253</v>
      </c>
      <c r="AW176" s="37" t="s">
        <v>254</v>
      </c>
      <c r="AX176" s="38" t="s">
        <v>255</v>
      </c>
      <c r="AZ176" s="35" t="str">
        <f>$AN$3&amp;" Total"</f>
        <v>7/2021 Total</v>
      </c>
      <c r="BA176" s="47"/>
      <c r="BB176" s="66" t="str">
        <f>IF(COUNTBLANK(AP177:AX177)=9,"","Leave")</f>
        <v/>
      </c>
      <c r="BC176" s="66" t="str">
        <f>IFERROR(VLOOKUP(AM177,#REF!,4,FALSE),"")</f>
        <v/>
      </c>
      <c r="BD176" s="58" t="s">
        <v>256</v>
      </c>
    </row>
    <row r="177" spans="39:56" ht="20.25">
      <c r="AM177" s="25" t="e">
        <f>B19</f>
        <v>#REF!</v>
      </c>
      <c r="AN177" s="34" t="e">
        <f>D19</f>
        <v>#REF!</v>
      </c>
      <c r="AP177" s="46" t="str">
        <f t="shared" ref="AP177:AR182" si="115">IFERROR(INDEX($E$3:$AI$3,MATCH($AN177&amp;AP$8&amp;ROW(A1),$E$19:$AI$19,0))&amp;"/"&amp;$AN$3,"")</f>
        <v/>
      </c>
      <c r="AQ177" s="31" t="str">
        <f t="shared" si="115"/>
        <v/>
      </c>
      <c r="AR177" s="31" t="str">
        <f t="shared" si="115"/>
        <v/>
      </c>
      <c r="AS177" s="46" t="str">
        <f t="shared" ref="AS177:AU182" si="116">IFERROR(INDEX($E$3:$AI$3,MATCH($AN177&amp;AS$8&amp;ROW(D1),$E$19:$AI$19,0))&amp;"/"&amp;$AN$3,"")</f>
        <v/>
      </c>
      <c r="AT177" s="31" t="str">
        <f t="shared" si="116"/>
        <v/>
      </c>
      <c r="AU177" s="31" t="str">
        <f t="shared" si="116"/>
        <v/>
      </c>
      <c r="AV177" s="46" t="str">
        <f t="shared" ref="AV177:AX182" si="117">IFERROR(INDEX($E$3:$AI$3,MATCH($AN177&amp;AV$8&amp;ROW(G1),$E$19:$AI$19,0))&amp;"/"&amp;$AN$3,"")</f>
        <v/>
      </c>
      <c r="AW177" s="31" t="str">
        <f t="shared" si="117"/>
        <v/>
      </c>
      <c r="AX177" s="32" t="str">
        <f t="shared" si="117"/>
        <v/>
      </c>
      <c r="AZ177" s="48" t="s">
        <v>257</v>
      </c>
      <c r="BA177" s="49">
        <f>COUNTA(AP177:AP186)-COUNTBLANK(AP177:AP186)+(COUNTA(AQ177:AQ186)-COUNTBLANK(AQ177:AQ186))*0.5+(COUNTA(AR177:AR186)-COUNTBLANK(AR177:AR186))*0.5</f>
        <v>0</v>
      </c>
      <c r="BB177" s="67" t="str">
        <f>BB176</f>
        <v/>
      </c>
      <c r="BC177" s="67" t="str">
        <f>BC176</f>
        <v/>
      </c>
      <c r="BD177" s="59" t="str">
        <f t="shared" ref="BD177:BD182" si="118">IFERROR(INDEX($E$3:$AI$3,MATCH($AN177&amp;BD$8&amp;ROW(N1),$E$19:$AI$19,0))&amp;"/"&amp;$AN$3,"")</f>
        <v/>
      </c>
    </row>
    <row r="178" spans="39:56" ht="18.75">
      <c r="AM178" s="30" t="e">
        <f t="shared" ref="AM178:AM186" si="119">AM177</f>
        <v>#REF!</v>
      </c>
      <c r="AN178" s="27" t="e">
        <f>AN177</f>
        <v>#REF!</v>
      </c>
      <c r="AP178" s="46" t="str">
        <f t="shared" si="115"/>
        <v/>
      </c>
      <c r="AQ178" s="31" t="str">
        <f t="shared" si="115"/>
        <v/>
      </c>
      <c r="AR178" s="31" t="str">
        <f t="shared" si="115"/>
        <v/>
      </c>
      <c r="AS178" s="46" t="str">
        <f t="shared" si="116"/>
        <v/>
      </c>
      <c r="AT178" s="31" t="str">
        <f t="shared" si="116"/>
        <v/>
      </c>
      <c r="AU178" s="31" t="str">
        <f t="shared" si="116"/>
        <v/>
      </c>
      <c r="AV178" s="46" t="str">
        <f t="shared" si="117"/>
        <v/>
      </c>
      <c r="AW178" s="31" t="str">
        <f t="shared" si="117"/>
        <v/>
      </c>
      <c r="AX178" s="32" t="str">
        <f t="shared" si="117"/>
        <v/>
      </c>
      <c r="AZ178" s="48" t="s">
        <v>258</v>
      </c>
      <c r="BA178" s="49">
        <f>COUNTA(AS177:AS186)-COUNTBLANK(AS177:AS186)+(COUNTA(AT177:AT186)-COUNTBLANK(AT177:AT186))*0.5+(COUNTA(AU177:AU186)-COUNTBLANK(AU177:AU186))*0.5</f>
        <v>0</v>
      </c>
      <c r="BB178" s="67" t="str">
        <f t="shared" ref="BB178:BC187" si="120">BB177</f>
        <v/>
      </c>
      <c r="BC178" s="67" t="str">
        <f t="shared" si="120"/>
        <v/>
      </c>
      <c r="BD178" s="60" t="str">
        <f t="shared" si="118"/>
        <v/>
      </c>
    </row>
    <row r="179" spans="39:56" ht="18.75">
      <c r="AM179" s="30" t="e">
        <f t="shared" si="119"/>
        <v>#REF!</v>
      </c>
      <c r="AN179" s="27" t="e">
        <f t="shared" ref="AN179:AN186" si="121">AN178</f>
        <v>#REF!</v>
      </c>
      <c r="AP179" s="46" t="str">
        <f t="shared" si="115"/>
        <v/>
      </c>
      <c r="AQ179" s="31" t="str">
        <f t="shared" si="115"/>
        <v/>
      </c>
      <c r="AR179" s="31" t="str">
        <f t="shared" si="115"/>
        <v/>
      </c>
      <c r="AS179" s="46" t="str">
        <f t="shared" si="116"/>
        <v/>
      </c>
      <c r="AT179" s="31" t="str">
        <f t="shared" si="116"/>
        <v/>
      </c>
      <c r="AU179" s="31" t="str">
        <f t="shared" si="116"/>
        <v/>
      </c>
      <c r="AV179" s="46" t="str">
        <f t="shared" si="117"/>
        <v/>
      </c>
      <c r="AW179" s="31" t="str">
        <f t="shared" si="117"/>
        <v/>
      </c>
      <c r="AX179" s="32" t="str">
        <f t="shared" si="117"/>
        <v/>
      </c>
      <c r="AZ179" s="48" t="s">
        <v>259</v>
      </c>
      <c r="BA179" s="49">
        <f>COUNTA(AV177:AV186)-COUNTBLANK(AV177:AV186)+(COUNTA(AW177:AW186)-COUNTBLANK(AW177:AW186))*0.5+(COUNTA(AX177:AX186)-COUNTBLANK(AX177:AX186))*0.5</f>
        <v>0</v>
      </c>
      <c r="BB179" s="67" t="str">
        <f t="shared" si="120"/>
        <v/>
      </c>
      <c r="BC179" s="67" t="str">
        <f t="shared" si="120"/>
        <v/>
      </c>
      <c r="BD179" s="60" t="str">
        <f t="shared" si="118"/>
        <v/>
      </c>
    </row>
    <row r="180" spans="39:56" ht="20.25">
      <c r="AM180" s="30" t="e">
        <f t="shared" si="119"/>
        <v>#REF!</v>
      </c>
      <c r="AN180" s="27" t="e">
        <f t="shared" si="121"/>
        <v>#REF!</v>
      </c>
      <c r="AP180" s="46" t="str">
        <f t="shared" si="115"/>
        <v/>
      </c>
      <c r="AQ180" s="31" t="str">
        <f t="shared" si="115"/>
        <v/>
      </c>
      <c r="AR180" s="31" t="str">
        <f t="shared" si="115"/>
        <v/>
      </c>
      <c r="AS180" s="46" t="str">
        <f t="shared" si="116"/>
        <v/>
      </c>
      <c r="AT180" s="31" t="str">
        <f t="shared" si="116"/>
        <v/>
      </c>
      <c r="AU180" s="31" t="str">
        <f t="shared" si="116"/>
        <v/>
      </c>
      <c r="AV180" s="46" t="str">
        <f t="shared" si="117"/>
        <v/>
      </c>
      <c r="AW180" s="31" t="str">
        <f t="shared" si="117"/>
        <v/>
      </c>
      <c r="AX180" s="32" t="str">
        <f t="shared" si="117"/>
        <v/>
      </c>
      <c r="AZ180" s="33"/>
      <c r="BA180" s="23"/>
      <c r="BB180" s="67" t="str">
        <f t="shared" si="120"/>
        <v/>
      </c>
      <c r="BC180" s="67" t="str">
        <f t="shared" si="120"/>
        <v/>
      </c>
      <c r="BD180" s="60" t="str">
        <f t="shared" si="118"/>
        <v/>
      </c>
    </row>
    <row r="181" spans="39:56" ht="18">
      <c r="AM181" s="30" t="e">
        <f t="shared" si="119"/>
        <v>#REF!</v>
      </c>
      <c r="AN181" s="27" t="e">
        <f t="shared" si="121"/>
        <v>#REF!</v>
      </c>
      <c r="AP181" s="46" t="str">
        <f t="shared" si="115"/>
        <v/>
      </c>
      <c r="AQ181" s="31" t="str">
        <f t="shared" si="115"/>
        <v/>
      </c>
      <c r="AR181" s="31" t="str">
        <f t="shared" si="115"/>
        <v/>
      </c>
      <c r="AS181" s="46" t="str">
        <f t="shared" si="116"/>
        <v/>
      </c>
      <c r="AT181" s="31" t="str">
        <f t="shared" si="116"/>
        <v/>
      </c>
      <c r="AU181" s="31" t="str">
        <f t="shared" si="116"/>
        <v/>
      </c>
      <c r="AV181" s="46" t="str">
        <f t="shared" si="117"/>
        <v/>
      </c>
      <c r="AW181" s="31" t="str">
        <f t="shared" si="117"/>
        <v/>
      </c>
      <c r="AX181" s="32" t="str">
        <f t="shared" si="117"/>
        <v/>
      </c>
      <c r="AZ181" s="33"/>
      <c r="BB181" s="67" t="str">
        <f t="shared" si="120"/>
        <v/>
      </c>
      <c r="BC181" s="67" t="str">
        <f t="shared" si="120"/>
        <v/>
      </c>
      <c r="BD181" s="60" t="str">
        <f t="shared" si="118"/>
        <v/>
      </c>
    </row>
    <row r="182" spans="39:56" ht="20.25">
      <c r="AM182" s="30" t="e">
        <f t="shared" si="119"/>
        <v>#REF!</v>
      </c>
      <c r="AN182" s="27" t="e">
        <f t="shared" si="121"/>
        <v>#REF!</v>
      </c>
      <c r="AP182" s="46" t="str">
        <f t="shared" si="115"/>
        <v/>
      </c>
      <c r="AQ182" s="31" t="str">
        <f t="shared" si="115"/>
        <v/>
      </c>
      <c r="AR182" s="31" t="str">
        <f t="shared" si="115"/>
        <v/>
      </c>
      <c r="AS182" s="46" t="str">
        <f t="shared" si="116"/>
        <v/>
      </c>
      <c r="AT182" s="31" t="str">
        <f t="shared" si="116"/>
        <v/>
      </c>
      <c r="AU182" s="31" t="str">
        <f t="shared" si="116"/>
        <v/>
      </c>
      <c r="AV182" s="46" t="str">
        <f t="shared" si="117"/>
        <v/>
      </c>
      <c r="AW182" s="31" t="str">
        <f t="shared" si="117"/>
        <v/>
      </c>
      <c r="AX182" s="32" t="str">
        <f t="shared" si="117"/>
        <v/>
      </c>
      <c r="AZ182" s="23" t="s">
        <v>260</v>
      </c>
      <c r="BB182" s="67" t="str">
        <f t="shared" si="120"/>
        <v/>
      </c>
      <c r="BC182" s="67" t="str">
        <f t="shared" si="120"/>
        <v/>
      </c>
      <c r="BD182" s="60" t="str">
        <f t="shared" si="118"/>
        <v/>
      </c>
    </row>
    <row r="183" spans="39:56" ht="18">
      <c r="AM183" s="30" t="e">
        <f t="shared" si="119"/>
        <v>#REF!</v>
      </c>
      <c r="AN183" s="27" t="e">
        <f t="shared" si="121"/>
        <v>#REF!</v>
      </c>
      <c r="AP183" s="46" t="str">
        <f t="shared" ref="AP183:AR186" si="122">IFERROR(INDEX($E$3:$AI$3,MATCH($AN183&amp;AP$8&amp;ROW(A8),$E$19:$AI$19,0))&amp;"/"&amp;$AN$3,"")</f>
        <v/>
      </c>
      <c r="AQ183" s="31" t="str">
        <f t="shared" si="122"/>
        <v/>
      </c>
      <c r="AR183" s="31" t="str">
        <f t="shared" si="122"/>
        <v/>
      </c>
      <c r="AS183" s="46" t="str">
        <f t="shared" ref="AS183:AU186" si="123">IFERROR(INDEX($E$3:$AI$3,MATCH($AN183&amp;AS$8&amp;ROW(D8),$E$19:$AI$19,0))&amp;"/"&amp;$AN$3,"")</f>
        <v/>
      </c>
      <c r="AT183" s="31" t="str">
        <f t="shared" si="123"/>
        <v/>
      </c>
      <c r="AU183" s="31" t="str">
        <f t="shared" si="123"/>
        <v/>
      </c>
      <c r="AV183" s="46" t="str">
        <f t="shared" ref="AV183:AX186" si="124">IFERROR(INDEX($E$3:$AI$3,MATCH($AN183&amp;AV$8&amp;ROW(G8),$E$19:$AI$19,0))&amp;"/"&amp;$AN$3,"")</f>
        <v/>
      </c>
      <c r="AW183" s="31" t="str">
        <f t="shared" si="124"/>
        <v/>
      </c>
      <c r="AX183" s="32" t="str">
        <f t="shared" si="124"/>
        <v/>
      </c>
      <c r="AZ183" s="33"/>
      <c r="BB183" s="67" t="str">
        <f t="shared" si="120"/>
        <v/>
      </c>
      <c r="BC183" s="67" t="str">
        <f t="shared" si="120"/>
        <v/>
      </c>
      <c r="BD183" s="60" t="str">
        <f>IFERROR(INDEX($E$3:$AI$3,MATCH($AN183&amp;BD$8&amp;ROW(N8),$E$19:$AI$19,0))&amp;"/"&amp;$AN$3,"")</f>
        <v/>
      </c>
    </row>
    <row r="184" spans="39:56" ht="18">
      <c r="AM184" s="30" t="e">
        <f t="shared" si="119"/>
        <v>#REF!</v>
      </c>
      <c r="AN184" s="27" t="e">
        <f t="shared" si="121"/>
        <v>#REF!</v>
      </c>
      <c r="AP184" s="46" t="str">
        <f t="shared" si="122"/>
        <v/>
      </c>
      <c r="AQ184" s="31" t="str">
        <f t="shared" si="122"/>
        <v/>
      </c>
      <c r="AR184" s="31" t="str">
        <f t="shared" si="122"/>
        <v/>
      </c>
      <c r="AS184" s="46" t="str">
        <f t="shared" si="123"/>
        <v/>
      </c>
      <c r="AT184" s="31" t="str">
        <f t="shared" si="123"/>
        <v/>
      </c>
      <c r="AU184" s="31" t="str">
        <f t="shared" si="123"/>
        <v/>
      </c>
      <c r="AV184" s="46" t="str">
        <f t="shared" si="124"/>
        <v/>
      </c>
      <c r="AW184" s="31" t="str">
        <f t="shared" si="124"/>
        <v/>
      </c>
      <c r="AX184" s="32" t="str">
        <f t="shared" si="124"/>
        <v/>
      </c>
      <c r="BB184" s="67" t="str">
        <f t="shared" si="120"/>
        <v/>
      </c>
      <c r="BC184" s="67" t="str">
        <f t="shared" si="120"/>
        <v/>
      </c>
      <c r="BD184" s="60" t="str">
        <f>IFERROR(INDEX($E$3:$AI$3,MATCH($AN184&amp;BD$8&amp;ROW(N9),$E$19:$AI$19,0))&amp;"/"&amp;$AN$3,"")</f>
        <v/>
      </c>
    </row>
    <row r="185" spans="39:56" ht="18">
      <c r="AM185" s="30" t="e">
        <f t="shared" si="119"/>
        <v>#REF!</v>
      </c>
      <c r="AN185" s="27" t="e">
        <f t="shared" si="121"/>
        <v>#REF!</v>
      </c>
      <c r="AP185" s="46" t="str">
        <f t="shared" si="122"/>
        <v/>
      </c>
      <c r="AQ185" s="31" t="str">
        <f t="shared" si="122"/>
        <v/>
      </c>
      <c r="AR185" s="31" t="str">
        <f t="shared" si="122"/>
        <v/>
      </c>
      <c r="AS185" s="46" t="str">
        <f t="shared" si="123"/>
        <v/>
      </c>
      <c r="AT185" s="31" t="str">
        <f t="shared" si="123"/>
        <v/>
      </c>
      <c r="AU185" s="31" t="str">
        <f t="shared" si="123"/>
        <v/>
      </c>
      <c r="AV185" s="46" t="str">
        <f t="shared" si="124"/>
        <v/>
      </c>
      <c r="AW185" s="31" t="str">
        <f t="shared" si="124"/>
        <v/>
      </c>
      <c r="AX185" s="32" t="str">
        <f t="shared" si="124"/>
        <v/>
      </c>
      <c r="BB185" s="67" t="str">
        <f t="shared" si="120"/>
        <v/>
      </c>
      <c r="BC185" s="67" t="str">
        <f t="shared" si="120"/>
        <v/>
      </c>
      <c r="BD185" s="60" t="str">
        <f>IFERROR(INDEX($E$3:$AI$3,MATCH($AN185&amp;BD$8&amp;ROW(N10),$E$19:$AI$19,0))&amp;"/"&amp;$AN$3,"")</f>
        <v/>
      </c>
    </row>
    <row r="186" spans="39:56" ht="18.75" thickBot="1">
      <c r="AM186" s="51" t="e">
        <f t="shared" si="119"/>
        <v>#REF!</v>
      </c>
      <c r="AN186" s="28" t="e">
        <f t="shared" si="121"/>
        <v>#REF!</v>
      </c>
      <c r="AO186" s="26"/>
      <c r="AP186" s="52" t="str">
        <f t="shared" si="122"/>
        <v/>
      </c>
      <c r="AQ186" s="53" t="str">
        <f t="shared" si="122"/>
        <v/>
      </c>
      <c r="AR186" s="53" t="str">
        <f t="shared" si="122"/>
        <v/>
      </c>
      <c r="AS186" s="52" t="str">
        <f t="shared" si="123"/>
        <v/>
      </c>
      <c r="AT186" s="53" t="str">
        <f t="shared" si="123"/>
        <v/>
      </c>
      <c r="AU186" s="53" t="str">
        <f t="shared" si="123"/>
        <v/>
      </c>
      <c r="AV186" s="52" t="str">
        <f t="shared" si="124"/>
        <v/>
      </c>
      <c r="AW186" s="53" t="str">
        <f t="shared" si="124"/>
        <v/>
      </c>
      <c r="AX186" s="54" t="str">
        <f t="shared" si="124"/>
        <v/>
      </c>
      <c r="AZ186" s="26" t="str">
        <f>AP186</f>
        <v/>
      </c>
      <c r="BA186" s="29"/>
      <c r="BB186" s="67" t="str">
        <f t="shared" si="120"/>
        <v/>
      </c>
      <c r="BC186" s="67" t="str">
        <f t="shared" si="120"/>
        <v/>
      </c>
      <c r="BD186" s="61" t="str">
        <f>IFERROR(INDEX($E$3:$AI$3,MATCH($AN186&amp;BD$8&amp;ROW(N11),$E$19:$AI$19,0))&amp;"/"&amp;$AN$3,"")</f>
        <v/>
      </c>
    </row>
    <row r="187" spans="39:56" ht="15.75" thickBot="1">
      <c r="BA187" s="22"/>
      <c r="BB187" s="67" t="str">
        <f t="shared" si="120"/>
        <v/>
      </c>
      <c r="BC187" s="67" t="str">
        <f t="shared" si="120"/>
        <v/>
      </c>
    </row>
    <row r="188" spans="39:56" ht="20.25">
      <c r="AM188" s="39"/>
      <c r="AN188" s="40"/>
      <c r="AO188" s="36"/>
      <c r="AP188" s="45" t="s">
        <v>247</v>
      </c>
      <c r="AQ188" s="37" t="s">
        <v>248</v>
      </c>
      <c r="AR188" s="37" t="s">
        <v>249</v>
      </c>
      <c r="AS188" s="45" t="s">
        <v>250</v>
      </c>
      <c r="AT188" s="37" t="s">
        <v>251</v>
      </c>
      <c r="AU188" s="37" t="s">
        <v>252</v>
      </c>
      <c r="AV188" s="45" t="s">
        <v>253</v>
      </c>
      <c r="AW188" s="37" t="s">
        <v>254</v>
      </c>
      <c r="AX188" s="38" t="s">
        <v>255</v>
      </c>
      <c r="AZ188" s="35" t="str">
        <f>$AN$3&amp;" Total"</f>
        <v>7/2021 Total</v>
      </c>
      <c r="BA188" s="47"/>
      <c r="BB188" s="66" t="str">
        <f>IF(COUNTBLANK(AP189:AX189)=9,"","Leave")</f>
        <v/>
      </c>
      <c r="BC188" s="66" t="str">
        <f>IFERROR(VLOOKUP(AM189,#REF!,4,FALSE),"")</f>
        <v/>
      </c>
      <c r="BD188" s="58" t="s">
        <v>256</v>
      </c>
    </row>
    <row r="189" spans="39:56" ht="20.25">
      <c r="AM189" s="25" t="e">
        <f>B20</f>
        <v>#REF!</v>
      </c>
      <c r="AN189" s="34" t="e">
        <f>D20</f>
        <v>#REF!</v>
      </c>
      <c r="AP189" s="46" t="str">
        <f t="shared" ref="AP189:AR194" si="125">IFERROR(INDEX($E$3:$AI$3,MATCH($AN189&amp;AP$8&amp;ROW(A1),$E$20:$AI$20,0))&amp;"/"&amp;$AN$3,"")</f>
        <v/>
      </c>
      <c r="AQ189" s="31" t="str">
        <f t="shared" si="125"/>
        <v/>
      </c>
      <c r="AR189" s="31" t="str">
        <f t="shared" si="125"/>
        <v/>
      </c>
      <c r="AS189" s="46" t="str">
        <f t="shared" ref="AS189:AU194" si="126">IFERROR(INDEX($E$3:$AI$3,MATCH($AN189&amp;AS$8&amp;ROW(D1),$E$20:$AI$20,0))&amp;"/"&amp;$AN$3,"")</f>
        <v/>
      </c>
      <c r="AT189" s="31" t="str">
        <f t="shared" si="126"/>
        <v/>
      </c>
      <c r="AU189" s="31" t="str">
        <f t="shared" si="126"/>
        <v/>
      </c>
      <c r="AV189" s="46" t="str">
        <f t="shared" ref="AV189:AX194" si="127">IFERROR(INDEX($E$3:$AI$3,MATCH($AN189&amp;AV$8&amp;ROW(G1),$E$20:$AI$20,0))&amp;"/"&amp;$AN$3,"")</f>
        <v/>
      </c>
      <c r="AW189" s="31" t="str">
        <f t="shared" si="127"/>
        <v/>
      </c>
      <c r="AX189" s="32" t="str">
        <f t="shared" si="127"/>
        <v/>
      </c>
      <c r="AZ189" s="48" t="s">
        <v>257</v>
      </c>
      <c r="BA189" s="49">
        <f>COUNTA(AP189:AP198)-COUNTBLANK(AP189:AP198)+(COUNTA(AQ189:AQ198)-COUNTBLANK(AQ189:AQ198))*0.5+(COUNTA(AR189:AR198)-COUNTBLANK(AR189:AR198))*0.5</f>
        <v>0</v>
      </c>
      <c r="BB189" s="67" t="str">
        <f>BB188</f>
        <v/>
      </c>
      <c r="BC189" s="67" t="str">
        <f>BC188</f>
        <v/>
      </c>
      <c r="BD189" s="59" t="str">
        <f t="shared" ref="BD189:BD194" si="128">IFERROR(INDEX($E$3:$AI$3,MATCH($AN189&amp;BD$8&amp;ROW(N1),$E$20:$AI$20,0))&amp;"/"&amp;$AN$3,"")</f>
        <v/>
      </c>
    </row>
    <row r="190" spans="39:56" ht="18.75">
      <c r="AM190" s="30" t="e">
        <f t="shared" ref="AM190:AM198" si="129">AM189</f>
        <v>#REF!</v>
      </c>
      <c r="AN190" s="27" t="e">
        <f>AN189</f>
        <v>#REF!</v>
      </c>
      <c r="AP190" s="46" t="str">
        <f t="shared" si="125"/>
        <v/>
      </c>
      <c r="AQ190" s="31" t="str">
        <f t="shared" si="125"/>
        <v/>
      </c>
      <c r="AR190" s="31" t="str">
        <f t="shared" si="125"/>
        <v/>
      </c>
      <c r="AS190" s="46" t="str">
        <f t="shared" si="126"/>
        <v/>
      </c>
      <c r="AT190" s="31" t="str">
        <f t="shared" si="126"/>
        <v/>
      </c>
      <c r="AU190" s="31" t="str">
        <f t="shared" si="126"/>
        <v/>
      </c>
      <c r="AV190" s="46" t="str">
        <f t="shared" si="127"/>
        <v/>
      </c>
      <c r="AW190" s="31" t="str">
        <f t="shared" si="127"/>
        <v/>
      </c>
      <c r="AX190" s="32" t="str">
        <f t="shared" si="127"/>
        <v/>
      </c>
      <c r="AZ190" s="48" t="s">
        <v>258</v>
      </c>
      <c r="BA190" s="49">
        <f>COUNTA(AS189:AS198)-COUNTBLANK(AS189:AS198)+(COUNTA(AT189:AT198)-COUNTBLANK(AT189:AT198))*0.5+(COUNTA(AU189:AU198)-COUNTBLANK(AU189:AU198))*0.5</f>
        <v>0</v>
      </c>
      <c r="BB190" s="67" t="str">
        <f t="shared" ref="BB190:BC199" si="130">BB189</f>
        <v/>
      </c>
      <c r="BC190" s="67" t="str">
        <f t="shared" si="130"/>
        <v/>
      </c>
      <c r="BD190" s="60" t="str">
        <f t="shared" si="128"/>
        <v/>
      </c>
    </row>
    <row r="191" spans="39:56" ht="18.75">
      <c r="AM191" s="30" t="e">
        <f t="shared" si="129"/>
        <v>#REF!</v>
      </c>
      <c r="AN191" s="27" t="e">
        <f t="shared" ref="AN191:AN198" si="131">AN190</f>
        <v>#REF!</v>
      </c>
      <c r="AP191" s="46" t="str">
        <f t="shared" si="125"/>
        <v/>
      </c>
      <c r="AQ191" s="31" t="str">
        <f t="shared" si="125"/>
        <v/>
      </c>
      <c r="AR191" s="31" t="str">
        <f t="shared" si="125"/>
        <v/>
      </c>
      <c r="AS191" s="46" t="str">
        <f t="shared" si="126"/>
        <v/>
      </c>
      <c r="AT191" s="31" t="str">
        <f t="shared" si="126"/>
        <v/>
      </c>
      <c r="AU191" s="31" t="str">
        <f t="shared" si="126"/>
        <v/>
      </c>
      <c r="AV191" s="46" t="str">
        <f t="shared" si="127"/>
        <v/>
      </c>
      <c r="AW191" s="31" t="str">
        <f t="shared" si="127"/>
        <v/>
      </c>
      <c r="AX191" s="32" t="str">
        <f t="shared" si="127"/>
        <v/>
      </c>
      <c r="AZ191" s="48" t="s">
        <v>259</v>
      </c>
      <c r="BA191" s="49">
        <f>COUNTA(AV189:AV198)-COUNTBLANK(AV189:AV198)+(COUNTA(AW189:AW198)-COUNTBLANK(AW189:AW198))*0.5+(COUNTA(AX189:AX198)-COUNTBLANK(AX189:AX198))*0.5</f>
        <v>0</v>
      </c>
      <c r="BB191" s="67" t="str">
        <f t="shared" si="130"/>
        <v/>
      </c>
      <c r="BC191" s="67" t="str">
        <f t="shared" si="130"/>
        <v/>
      </c>
      <c r="BD191" s="60" t="str">
        <f t="shared" si="128"/>
        <v/>
      </c>
    </row>
    <row r="192" spans="39:56" ht="20.25">
      <c r="AM192" s="30" t="e">
        <f t="shared" si="129"/>
        <v>#REF!</v>
      </c>
      <c r="AN192" s="27" t="e">
        <f t="shared" si="131"/>
        <v>#REF!</v>
      </c>
      <c r="AP192" s="46" t="str">
        <f t="shared" si="125"/>
        <v/>
      </c>
      <c r="AQ192" s="31" t="str">
        <f t="shared" si="125"/>
        <v/>
      </c>
      <c r="AR192" s="31" t="str">
        <f t="shared" si="125"/>
        <v/>
      </c>
      <c r="AS192" s="46" t="str">
        <f t="shared" si="126"/>
        <v/>
      </c>
      <c r="AT192" s="31" t="str">
        <f t="shared" si="126"/>
        <v/>
      </c>
      <c r="AU192" s="31" t="str">
        <f t="shared" si="126"/>
        <v/>
      </c>
      <c r="AV192" s="46" t="str">
        <f t="shared" si="127"/>
        <v/>
      </c>
      <c r="AW192" s="31" t="str">
        <f t="shared" si="127"/>
        <v/>
      </c>
      <c r="AX192" s="32" t="str">
        <f t="shared" si="127"/>
        <v/>
      </c>
      <c r="AZ192" s="33"/>
      <c r="BA192" s="23"/>
      <c r="BB192" s="67" t="str">
        <f t="shared" si="130"/>
        <v/>
      </c>
      <c r="BC192" s="67" t="str">
        <f t="shared" si="130"/>
        <v/>
      </c>
      <c r="BD192" s="60" t="str">
        <f t="shared" si="128"/>
        <v/>
      </c>
    </row>
    <row r="193" spans="39:56" ht="18">
      <c r="AM193" s="30" t="e">
        <f t="shared" si="129"/>
        <v>#REF!</v>
      </c>
      <c r="AN193" s="27" t="e">
        <f t="shared" si="131"/>
        <v>#REF!</v>
      </c>
      <c r="AP193" s="46" t="str">
        <f t="shared" si="125"/>
        <v/>
      </c>
      <c r="AQ193" s="31" t="str">
        <f t="shared" si="125"/>
        <v/>
      </c>
      <c r="AR193" s="31" t="str">
        <f t="shared" si="125"/>
        <v/>
      </c>
      <c r="AS193" s="46" t="str">
        <f t="shared" si="126"/>
        <v/>
      </c>
      <c r="AT193" s="31" t="str">
        <f t="shared" si="126"/>
        <v/>
      </c>
      <c r="AU193" s="31" t="str">
        <f t="shared" si="126"/>
        <v/>
      </c>
      <c r="AV193" s="46" t="str">
        <f t="shared" si="127"/>
        <v/>
      </c>
      <c r="AW193" s="31" t="str">
        <f t="shared" si="127"/>
        <v/>
      </c>
      <c r="AX193" s="32" t="str">
        <f t="shared" si="127"/>
        <v/>
      </c>
      <c r="AZ193" s="33"/>
      <c r="BB193" s="67" t="str">
        <f t="shared" si="130"/>
        <v/>
      </c>
      <c r="BC193" s="67" t="str">
        <f t="shared" si="130"/>
        <v/>
      </c>
      <c r="BD193" s="60" t="str">
        <f t="shared" si="128"/>
        <v/>
      </c>
    </row>
    <row r="194" spans="39:56" ht="20.25">
      <c r="AM194" s="30" t="e">
        <f t="shared" si="129"/>
        <v>#REF!</v>
      </c>
      <c r="AN194" s="27" t="e">
        <f t="shared" si="131"/>
        <v>#REF!</v>
      </c>
      <c r="AP194" s="46" t="str">
        <f t="shared" si="125"/>
        <v/>
      </c>
      <c r="AQ194" s="31" t="str">
        <f t="shared" si="125"/>
        <v/>
      </c>
      <c r="AR194" s="31" t="str">
        <f t="shared" si="125"/>
        <v/>
      </c>
      <c r="AS194" s="46" t="str">
        <f t="shared" si="126"/>
        <v/>
      </c>
      <c r="AT194" s="31" t="str">
        <f t="shared" si="126"/>
        <v/>
      </c>
      <c r="AU194" s="31" t="str">
        <f t="shared" si="126"/>
        <v/>
      </c>
      <c r="AV194" s="46" t="str">
        <f t="shared" si="127"/>
        <v/>
      </c>
      <c r="AW194" s="31" t="str">
        <f t="shared" si="127"/>
        <v/>
      </c>
      <c r="AX194" s="32" t="str">
        <f t="shared" si="127"/>
        <v/>
      </c>
      <c r="AZ194" s="23" t="s">
        <v>260</v>
      </c>
      <c r="BB194" s="67" t="str">
        <f t="shared" si="130"/>
        <v/>
      </c>
      <c r="BC194" s="67" t="str">
        <f t="shared" si="130"/>
        <v/>
      </c>
      <c r="BD194" s="60" t="str">
        <f t="shared" si="128"/>
        <v/>
      </c>
    </row>
    <row r="195" spans="39:56" ht="18">
      <c r="AM195" s="30" t="e">
        <f t="shared" si="129"/>
        <v>#REF!</v>
      </c>
      <c r="AN195" s="27" t="e">
        <f t="shared" si="131"/>
        <v>#REF!</v>
      </c>
      <c r="AP195" s="46" t="str">
        <f t="shared" ref="AP195:AR198" si="132">IFERROR(INDEX($E$3:$AI$3,MATCH($AN195&amp;AP$8&amp;ROW(A8),$E$20:$AI$20,0))&amp;"/"&amp;$AN$3,"")</f>
        <v/>
      </c>
      <c r="AQ195" s="31" t="str">
        <f t="shared" si="132"/>
        <v/>
      </c>
      <c r="AR195" s="31" t="str">
        <f t="shared" si="132"/>
        <v/>
      </c>
      <c r="AS195" s="46" t="str">
        <f t="shared" ref="AS195:AU198" si="133">IFERROR(INDEX($E$3:$AI$3,MATCH($AN195&amp;AS$8&amp;ROW(D8),$E$20:$AI$20,0))&amp;"/"&amp;$AN$3,"")</f>
        <v/>
      </c>
      <c r="AT195" s="31" t="str">
        <f t="shared" si="133"/>
        <v/>
      </c>
      <c r="AU195" s="31" t="str">
        <f t="shared" si="133"/>
        <v/>
      </c>
      <c r="AV195" s="46" t="str">
        <f t="shared" ref="AV195:AX198" si="134">IFERROR(INDEX($E$3:$AI$3,MATCH($AN195&amp;AV$8&amp;ROW(G8),$E$20:$AI$20,0))&amp;"/"&amp;$AN$3,"")</f>
        <v/>
      </c>
      <c r="AW195" s="31" t="str">
        <f t="shared" si="134"/>
        <v/>
      </c>
      <c r="AX195" s="32" t="str">
        <f t="shared" si="134"/>
        <v/>
      </c>
      <c r="AZ195" s="33"/>
      <c r="BB195" s="67" t="str">
        <f t="shared" si="130"/>
        <v/>
      </c>
      <c r="BC195" s="67" t="str">
        <f t="shared" si="130"/>
        <v/>
      </c>
      <c r="BD195" s="60" t="str">
        <f>IFERROR(INDEX($E$3:$AI$3,MATCH($AN195&amp;BD$8&amp;ROW(N8),$E$20:$AI$20,0))&amp;"/"&amp;$AN$3,"")</f>
        <v/>
      </c>
    </row>
    <row r="196" spans="39:56" ht="18">
      <c r="AM196" s="30" t="e">
        <f t="shared" si="129"/>
        <v>#REF!</v>
      </c>
      <c r="AN196" s="27" t="e">
        <f t="shared" si="131"/>
        <v>#REF!</v>
      </c>
      <c r="AP196" s="46" t="str">
        <f t="shared" si="132"/>
        <v/>
      </c>
      <c r="AQ196" s="31" t="str">
        <f t="shared" si="132"/>
        <v/>
      </c>
      <c r="AR196" s="31" t="str">
        <f t="shared" si="132"/>
        <v/>
      </c>
      <c r="AS196" s="46" t="str">
        <f t="shared" si="133"/>
        <v/>
      </c>
      <c r="AT196" s="31" t="str">
        <f t="shared" si="133"/>
        <v/>
      </c>
      <c r="AU196" s="31" t="str">
        <f t="shared" si="133"/>
        <v/>
      </c>
      <c r="AV196" s="46" t="str">
        <f t="shared" si="134"/>
        <v/>
      </c>
      <c r="AW196" s="31" t="str">
        <f t="shared" si="134"/>
        <v/>
      </c>
      <c r="AX196" s="32" t="str">
        <f t="shared" si="134"/>
        <v/>
      </c>
      <c r="BB196" s="67" t="str">
        <f t="shared" si="130"/>
        <v/>
      </c>
      <c r="BC196" s="67" t="str">
        <f t="shared" si="130"/>
        <v/>
      </c>
      <c r="BD196" s="60" t="str">
        <f>IFERROR(INDEX($E$3:$AI$3,MATCH($AN196&amp;BD$8&amp;ROW(N9),$E$20:$AI$20,0))&amp;"/"&amp;$AN$3,"")</f>
        <v/>
      </c>
    </row>
    <row r="197" spans="39:56" ht="18">
      <c r="AM197" s="30" t="e">
        <f t="shared" si="129"/>
        <v>#REF!</v>
      </c>
      <c r="AN197" s="27" t="e">
        <f t="shared" si="131"/>
        <v>#REF!</v>
      </c>
      <c r="AP197" s="46" t="str">
        <f t="shared" si="132"/>
        <v/>
      </c>
      <c r="AQ197" s="31" t="str">
        <f t="shared" si="132"/>
        <v/>
      </c>
      <c r="AR197" s="31" t="str">
        <f t="shared" si="132"/>
        <v/>
      </c>
      <c r="AS197" s="46" t="str">
        <f t="shared" si="133"/>
        <v/>
      </c>
      <c r="AT197" s="31" t="str">
        <f t="shared" si="133"/>
        <v/>
      </c>
      <c r="AU197" s="31" t="str">
        <f t="shared" si="133"/>
        <v/>
      </c>
      <c r="AV197" s="46" t="str">
        <f t="shared" si="134"/>
        <v/>
      </c>
      <c r="AW197" s="31" t="str">
        <f t="shared" si="134"/>
        <v/>
      </c>
      <c r="AX197" s="32" t="str">
        <f t="shared" si="134"/>
        <v/>
      </c>
      <c r="BB197" s="67" t="str">
        <f t="shared" si="130"/>
        <v/>
      </c>
      <c r="BC197" s="67" t="str">
        <f t="shared" si="130"/>
        <v/>
      </c>
      <c r="BD197" s="60" t="str">
        <f>IFERROR(INDEX($E$3:$AI$3,MATCH($AN197&amp;BD$8&amp;ROW(N10),$E$20:$AI$20,0))&amp;"/"&amp;$AN$3,"")</f>
        <v/>
      </c>
    </row>
    <row r="198" spans="39:56" ht="18.75" thickBot="1">
      <c r="AM198" s="51" t="e">
        <f t="shared" si="129"/>
        <v>#REF!</v>
      </c>
      <c r="AN198" s="28" t="e">
        <f t="shared" si="131"/>
        <v>#REF!</v>
      </c>
      <c r="AO198" s="26"/>
      <c r="AP198" s="52" t="str">
        <f t="shared" si="132"/>
        <v/>
      </c>
      <c r="AQ198" s="53" t="str">
        <f t="shared" si="132"/>
        <v/>
      </c>
      <c r="AR198" s="53" t="str">
        <f t="shared" si="132"/>
        <v/>
      </c>
      <c r="AS198" s="52" t="str">
        <f t="shared" si="133"/>
        <v/>
      </c>
      <c r="AT198" s="53" t="str">
        <f t="shared" si="133"/>
        <v/>
      </c>
      <c r="AU198" s="53" t="str">
        <f t="shared" si="133"/>
        <v/>
      </c>
      <c r="AV198" s="52" t="str">
        <f t="shared" si="134"/>
        <v/>
      </c>
      <c r="AW198" s="53" t="str">
        <f t="shared" si="134"/>
        <v/>
      </c>
      <c r="AX198" s="54" t="str">
        <f t="shared" si="134"/>
        <v/>
      </c>
      <c r="AZ198" s="26" t="str">
        <f>AP198</f>
        <v/>
      </c>
      <c r="BA198" s="29"/>
      <c r="BB198" s="67" t="str">
        <f t="shared" si="130"/>
        <v/>
      </c>
      <c r="BC198" s="67" t="str">
        <f t="shared" si="130"/>
        <v/>
      </c>
      <c r="BD198" s="61" t="str">
        <f>IFERROR(INDEX($E$3:$AI$3,MATCH($AN198&amp;BD$8&amp;ROW(N11),$E$20:$AI$20,0))&amp;"/"&amp;$AN$3,"")</f>
        <v/>
      </c>
    </row>
    <row r="199" spans="39:56" ht="15.75" thickBot="1">
      <c r="BA199" s="22"/>
      <c r="BB199" s="67" t="str">
        <f t="shared" si="130"/>
        <v/>
      </c>
      <c r="BC199" s="67" t="str">
        <f t="shared" si="130"/>
        <v/>
      </c>
    </row>
    <row r="200" spans="39:56" ht="20.25">
      <c r="AM200" s="39"/>
      <c r="AN200" s="40"/>
      <c r="AO200" s="36"/>
      <c r="AP200" s="45" t="s">
        <v>247</v>
      </c>
      <c r="AQ200" s="37" t="s">
        <v>248</v>
      </c>
      <c r="AR200" s="37" t="s">
        <v>249</v>
      </c>
      <c r="AS200" s="45" t="s">
        <v>250</v>
      </c>
      <c r="AT200" s="37" t="s">
        <v>251</v>
      </c>
      <c r="AU200" s="37" t="s">
        <v>252</v>
      </c>
      <c r="AV200" s="45" t="s">
        <v>253</v>
      </c>
      <c r="AW200" s="37" t="s">
        <v>254</v>
      </c>
      <c r="AX200" s="38" t="s">
        <v>255</v>
      </c>
      <c r="AZ200" s="35" t="str">
        <f>$AN$3&amp;" Total"</f>
        <v>7/2021 Total</v>
      </c>
      <c r="BA200" s="47"/>
      <c r="BB200" s="66" t="str">
        <f>IF(COUNTBLANK(AP201:AX201)=9,"","Leave")</f>
        <v/>
      </c>
      <c r="BC200" s="66" t="str">
        <f>IFERROR(VLOOKUP(AM201,#REF!,4,FALSE),"")</f>
        <v/>
      </c>
      <c r="BD200" s="58" t="s">
        <v>256</v>
      </c>
    </row>
    <row r="201" spans="39:56" ht="20.25">
      <c r="AM201" s="25" t="e">
        <f>B21</f>
        <v>#REF!</v>
      </c>
      <c r="AN201" s="34" t="e">
        <f>D21</f>
        <v>#REF!</v>
      </c>
      <c r="AP201" s="46" t="str">
        <f t="shared" ref="AP201:AR206" si="135">IFERROR(INDEX($E$3:$AI$3,MATCH($AN201&amp;AP$8&amp;ROW(A1),$E$21:$AI$21,0))&amp;"/"&amp;$AN$3,"")</f>
        <v/>
      </c>
      <c r="AQ201" s="31" t="str">
        <f t="shared" si="135"/>
        <v/>
      </c>
      <c r="AR201" s="31" t="str">
        <f t="shared" si="135"/>
        <v/>
      </c>
      <c r="AS201" s="46" t="str">
        <f t="shared" ref="AS201:AU206" si="136">IFERROR(INDEX($E$3:$AI$3,MATCH($AN201&amp;AS$8&amp;ROW(D1),$E$21:$AI$21,0))&amp;"/"&amp;$AN$3,"")</f>
        <v/>
      </c>
      <c r="AT201" s="31" t="str">
        <f t="shared" si="136"/>
        <v/>
      </c>
      <c r="AU201" s="31" t="str">
        <f t="shared" si="136"/>
        <v/>
      </c>
      <c r="AV201" s="46" t="str">
        <f t="shared" ref="AV201:AX206" si="137">IFERROR(INDEX($E$3:$AI$3,MATCH($AN201&amp;AV$8&amp;ROW(G1),$E$21:$AI$21,0))&amp;"/"&amp;$AN$3,"")</f>
        <v/>
      </c>
      <c r="AW201" s="31" t="str">
        <f t="shared" si="137"/>
        <v/>
      </c>
      <c r="AX201" s="32" t="str">
        <f t="shared" si="137"/>
        <v/>
      </c>
      <c r="AZ201" s="48" t="s">
        <v>257</v>
      </c>
      <c r="BA201" s="49">
        <f>COUNTA(AP201:AP210)-COUNTBLANK(AP201:AP210)+(COUNTA(AQ201:AQ210)-COUNTBLANK(AQ201:AQ210))*0.5+(COUNTA(AR201:AR210)-COUNTBLANK(AR201:AR210))*0.5</f>
        <v>0</v>
      </c>
      <c r="BB201" s="67" t="str">
        <f>BB200</f>
        <v/>
      </c>
      <c r="BC201" s="67" t="str">
        <f>BC200</f>
        <v/>
      </c>
      <c r="BD201" s="59" t="str">
        <f t="shared" ref="BD201:BD206" si="138">IFERROR(INDEX($E$3:$AI$3,MATCH($AN201&amp;BD$8&amp;ROW(N1),$E$21:$AI$21,0))&amp;"/"&amp;$AN$3,"")</f>
        <v/>
      </c>
    </row>
    <row r="202" spans="39:56" ht="18.75">
      <c r="AM202" s="30" t="e">
        <f t="shared" ref="AM202:AM210" si="139">AM201</f>
        <v>#REF!</v>
      </c>
      <c r="AN202" s="27" t="e">
        <f>AN201</f>
        <v>#REF!</v>
      </c>
      <c r="AP202" s="46" t="str">
        <f t="shared" si="135"/>
        <v/>
      </c>
      <c r="AQ202" s="31" t="str">
        <f t="shared" si="135"/>
        <v/>
      </c>
      <c r="AR202" s="31" t="str">
        <f t="shared" si="135"/>
        <v/>
      </c>
      <c r="AS202" s="46" t="str">
        <f t="shared" si="136"/>
        <v/>
      </c>
      <c r="AT202" s="31" t="str">
        <f t="shared" si="136"/>
        <v/>
      </c>
      <c r="AU202" s="31" t="str">
        <f t="shared" si="136"/>
        <v/>
      </c>
      <c r="AV202" s="46" t="str">
        <f t="shared" si="137"/>
        <v/>
      </c>
      <c r="AW202" s="31" t="str">
        <f t="shared" si="137"/>
        <v/>
      </c>
      <c r="AX202" s="32" t="str">
        <f t="shared" si="137"/>
        <v/>
      </c>
      <c r="AZ202" s="48" t="s">
        <v>258</v>
      </c>
      <c r="BA202" s="49">
        <f>COUNTA(AS201:AS210)-COUNTBLANK(AS201:AS210)+(COUNTA(AT201:AT210)-COUNTBLANK(AT201:AT210))*0.5+(COUNTA(AU201:AU210)-COUNTBLANK(AU201:AU210))*0.5</f>
        <v>0</v>
      </c>
      <c r="BB202" s="67" t="str">
        <f t="shared" ref="BB202:BC211" si="140">BB201</f>
        <v/>
      </c>
      <c r="BC202" s="67" t="str">
        <f t="shared" si="140"/>
        <v/>
      </c>
      <c r="BD202" s="60" t="str">
        <f t="shared" si="138"/>
        <v/>
      </c>
    </row>
    <row r="203" spans="39:56" ht="18.75">
      <c r="AM203" s="30" t="e">
        <f t="shared" si="139"/>
        <v>#REF!</v>
      </c>
      <c r="AN203" s="27" t="e">
        <f t="shared" ref="AN203:AN210" si="141">AN202</f>
        <v>#REF!</v>
      </c>
      <c r="AP203" s="46" t="str">
        <f t="shared" si="135"/>
        <v/>
      </c>
      <c r="AQ203" s="31" t="str">
        <f t="shared" si="135"/>
        <v/>
      </c>
      <c r="AR203" s="31" t="str">
        <f t="shared" si="135"/>
        <v/>
      </c>
      <c r="AS203" s="46" t="str">
        <f t="shared" si="136"/>
        <v/>
      </c>
      <c r="AT203" s="31" t="str">
        <f t="shared" si="136"/>
        <v/>
      </c>
      <c r="AU203" s="31" t="str">
        <f t="shared" si="136"/>
        <v/>
      </c>
      <c r="AV203" s="46" t="str">
        <f t="shared" si="137"/>
        <v/>
      </c>
      <c r="AW203" s="31" t="str">
        <f t="shared" si="137"/>
        <v/>
      </c>
      <c r="AX203" s="32" t="str">
        <f t="shared" si="137"/>
        <v/>
      </c>
      <c r="AZ203" s="48" t="s">
        <v>259</v>
      </c>
      <c r="BA203" s="49">
        <f>COUNTA(AV201:AV210)-COUNTBLANK(AV201:AV210)+(COUNTA(AW201:AW210)-COUNTBLANK(AW201:AW210))*0.5+(COUNTA(AX201:AX210)-COUNTBLANK(AX201:AX210))*0.5</f>
        <v>0</v>
      </c>
      <c r="BB203" s="67" t="str">
        <f t="shared" si="140"/>
        <v/>
      </c>
      <c r="BC203" s="67" t="str">
        <f t="shared" si="140"/>
        <v/>
      </c>
      <c r="BD203" s="60" t="str">
        <f t="shared" si="138"/>
        <v/>
      </c>
    </row>
    <row r="204" spans="39:56" ht="20.25">
      <c r="AM204" s="30" t="e">
        <f t="shared" si="139"/>
        <v>#REF!</v>
      </c>
      <c r="AN204" s="27" t="e">
        <f t="shared" si="141"/>
        <v>#REF!</v>
      </c>
      <c r="AP204" s="46" t="str">
        <f t="shared" si="135"/>
        <v/>
      </c>
      <c r="AQ204" s="31" t="str">
        <f t="shared" si="135"/>
        <v/>
      </c>
      <c r="AR204" s="31" t="str">
        <f t="shared" si="135"/>
        <v/>
      </c>
      <c r="AS204" s="46" t="str">
        <f t="shared" si="136"/>
        <v/>
      </c>
      <c r="AT204" s="31" t="str">
        <f t="shared" si="136"/>
        <v/>
      </c>
      <c r="AU204" s="31" t="str">
        <f t="shared" si="136"/>
        <v/>
      </c>
      <c r="AV204" s="46" t="str">
        <f t="shared" si="137"/>
        <v/>
      </c>
      <c r="AW204" s="31" t="str">
        <f t="shared" si="137"/>
        <v/>
      </c>
      <c r="AX204" s="32" t="str">
        <f t="shared" si="137"/>
        <v/>
      </c>
      <c r="AZ204" s="33"/>
      <c r="BA204" s="23"/>
      <c r="BB204" s="67" t="str">
        <f t="shared" si="140"/>
        <v/>
      </c>
      <c r="BC204" s="67" t="str">
        <f t="shared" si="140"/>
        <v/>
      </c>
      <c r="BD204" s="60" t="str">
        <f t="shared" si="138"/>
        <v/>
      </c>
    </row>
    <row r="205" spans="39:56" ht="18">
      <c r="AM205" s="30" t="e">
        <f t="shared" si="139"/>
        <v>#REF!</v>
      </c>
      <c r="AN205" s="27" t="e">
        <f t="shared" si="141"/>
        <v>#REF!</v>
      </c>
      <c r="AP205" s="46" t="str">
        <f t="shared" si="135"/>
        <v/>
      </c>
      <c r="AQ205" s="31" t="str">
        <f t="shared" si="135"/>
        <v/>
      </c>
      <c r="AR205" s="31" t="str">
        <f t="shared" si="135"/>
        <v/>
      </c>
      <c r="AS205" s="46" t="str">
        <f t="shared" si="136"/>
        <v/>
      </c>
      <c r="AT205" s="31" t="str">
        <f t="shared" si="136"/>
        <v/>
      </c>
      <c r="AU205" s="31" t="str">
        <f t="shared" si="136"/>
        <v/>
      </c>
      <c r="AV205" s="46" t="str">
        <f t="shared" si="137"/>
        <v/>
      </c>
      <c r="AW205" s="31" t="str">
        <f t="shared" si="137"/>
        <v/>
      </c>
      <c r="AX205" s="32" t="str">
        <f t="shared" si="137"/>
        <v/>
      </c>
      <c r="AZ205" s="33"/>
      <c r="BB205" s="67" t="str">
        <f t="shared" si="140"/>
        <v/>
      </c>
      <c r="BC205" s="67" t="str">
        <f t="shared" si="140"/>
        <v/>
      </c>
      <c r="BD205" s="60" t="str">
        <f t="shared" si="138"/>
        <v/>
      </c>
    </row>
    <row r="206" spans="39:56" ht="20.25">
      <c r="AM206" s="30" t="e">
        <f t="shared" si="139"/>
        <v>#REF!</v>
      </c>
      <c r="AN206" s="27" t="e">
        <f t="shared" si="141"/>
        <v>#REF!</v>
      </c>
      <c r="AP206" s="46" t="str">
        <f t="shared" si="135"/>
        <v/>
      </c>
      <c r="AQ206" s="31" t="str">
        <f t="shared" si="135"/>
        <v/>
      </c>
      <c r="AR206" s="31" t="str">
        <f t="shared" si="135"/>
        <v/>
      </c>
      <c r="AS206" s="46" t="str">
        <f t="shared" si="136"/>
        <v/>
      </c>
      <c r="AT206" s="31" t="str">
        <f t="shared" si="136"/>
        <v/>
      </c>
      <c r="AU206" s="31" t="str">
        <f t="shared" si="136"/>
        <v/>
      </c>
      <c r="AV206" s="46" t="str">
        <f t="shared" si="137"/>
        <v/>
      </c>
      <c r="AW206" s="31" t="str">
        <f t="shared" si="137"/>
        <v/>
      </c>
      <c r="AX206" s="32" t="str">
        <f t="shared" si="137"/>
        <v/>
      </c>
      <c r="AZ206" s="23" t="s">
        <v>260</v>
      </c>
      <c r="BB206" s="67" t="str">
        <f t="shared" si="140"/>
        <v/>
      </c>
      <c r="BC206" s="67" t="str">
        <f t="shared" si="140"/>
        <v/>
      </c>
      <c r="BD206" s="60" t="str">
        <f t="shared" si="138"/>
        <v/>
      </c>
    </row>
    <row r="207" spans="39:56" ht="18">
      <c r="AM207" s="30" t="e">
        <f t="shared" si="139"/>
        <v>#REF!</v>
      </c>
      <c r="AN207" s="27" t="e">
        <f t="shared" si="141"/>
        <v>#REF!</v>
      </c>
      <c r="AP207" s="46" t="str">
        <f t="shared" ref="AP207:AR210" si="142">IFERROR(INDEX($E$3:$AI$3,MATCH($AN207&amp;AP$8&amp;ROW(A8),$E$21:$AI$21,0))&amp;"/"&amp;$AN$3,"")</f>
        <v/>
      </c>
      <c r="AQ207" s="31" t="str">
        <f t="shared" si="142"/>
        <v/>
      </c>
      <c r="AR207" s="31" t="str">
        <f t="shared" si="142"/>
        <v/>
      </c>
      <c r="AS207" s="46" t="str">
        <f t="shared" ref="AS207:AU210" si="143">IFERROR(INDEX($E$3:$AI$3,MATCH($AN207&amp;AS$8&amp;ROW(D8),$E$21:$AI$21,0))&amp;"/"&amp;$AN$3,"")</f>
        <v/>
      </c>
      <c r="AT207" s="31" t="str">
        <f t="shared" si="143"/>
        <v/>
      </c>
      <c r="AU207" s="31" t="str">
        <f t="shared" si="143"/>
        <v/>
      </c>
      <c r="AV207" s="46" t="str">
        <f t="shared" ref="AV207:AX210" si="144">IFERROR(INDEX($E$3:$AI$3,MATCH($AN207&amp;AV$8&amp;ROW(G8),$E$21:$AI$21,0))&amp;"/"&amp;$AN$3,"")</f>
        <v/>
      </c>
      <c r="AW207" s="31" t="str">
        <f t="shared" si="144"/>
        <v/>
      </c>
      <c r="AX207" s="32" t="str">
        <f t="shared" si="144"/>
        <v/>
      </c>
      <c r="AZ207" s="33"/>
      <c r="BB207" s="67" t="str">
        <f t="shared" si="140"/>
        <v/>
      </c>
      <c r="BC207" s="67" t="str">
        <f t="shared" si="140"/>
        <v/>
      </c>
      <c r="BD207" s="60" t="str">
        <f>IFERROR(INDEX($E$3:$AI$3,MATCH($AN207&amp;BD$8&amp;ROW(N8),$E$21:$AI$21,0))&amp;"/"&amp;$AN$3,"")</f>
        <v/>
      </c>
    </row>
    <row r="208" spans="39:56" ht="18">
      <c r="AM208" s="30" t="e">
        <f t="shared" si="139"/>
        <v>#REF!</v>
      </c>
      <c r="AN208" s="27" t="e">
        <f t="shared" si="141"/>
        <v>#REF!</v>
      </c>
      <c r="AP208" s="46" t="str">
        <f t="shared" si="142"/>
        <v/>
      </c>
      <c r="AQ208" s="31" t="str">
        <f t="shared" si="142"/>
        <v/>
      </c>
      <c r="AR208" s="31" t="str">
        <f t="shared" si="142"/>
        <v/>
      </c>
      <c r="AS208" s="46" t="str">
        <f t="shared" si="143"/>
        <v/>
      </c>
      <c r="AT208" s="31" t="str">
        <f t="shared" si="143"/>
        <v/>
      </c>
      <c r="AU208" s="31" t="str">
        <f t="shared" si="143"/>
        <v/>
      </c>
      <c r="AV208" s="46" t="str">
        <f t="shared" si="144"/>
        <v/>
      </c>
      <c r="AW208" s="31" t="str">
        <f t="shared" si="144"/>
        <v/>
      </c>
      <c r="AX208" s="32" t="str">
        <f t="shared" si="144"/>
        <v/>
      </c>
      <c r="BB208" s="67" t="str">
        <f t="shared" si="140"/>
        <v/>
      </c>
      <c r="BC208" s="67" t="str">
        <f t="shared" si="140"/>
        <v/>
      </c>
      <c r="BD208" s="60" t="str">
        <f>IFERROR(INDEX($E$3:$AI$3,MATCH($AN208&amp;BD$8&amp;ROW(N9),$E$21:$AI$21,0))&amp;"/"&amp;$AN$3,"")</f>
        <v/>
      </c>
    </row>
    <row r="209" spans="39:56" ht="18">
      <c r="AM209" s="30" t="e">
        <f t="shared" si="139"/>
        <v>#REF!</v>
      </c>
      <c r="AN209" s="27" t="e">
        <f t="shared" si="141"/>
        <v>#REF!</v>
      </c>
      <c r="AP209" s="46" t="str">
        <f t="shared" si="142"/>
        <v/>
      </c>
      <c r="AQ209" s="31" t="str">
        <f t="shared" si="142"/>
        <v/>
      </c>
      <c r="AR209" s="31" t="str">
        <f t="shared" si="142"/>
        <v/>
      </c>
      <c r="AS209" s="46" t="str">
        <f t="shared" si="143"/>
        <v/>
      </c>
      <c r="AT209" s="31" t="str">
        <f t="shared" si="143"/>
        <v/>
      </c>
      <c r="AU209" s="31" t="str">
        <f t="shared" si="143"/>
        <v/>
      </c>
      <c r="AV209" s="46" t="str">
        <f t="shared" si="144"/>
        <v/>
      </c>
      <c r="AW209" s="31" t="str">
        <f t="shared" si="144"/>
        <v/>
      </c>
      <c r="AX209" s="32" t="str">
        <f t="shared" si="144"/>
        <v/>
      </c>
      <c r="BB209" s="67" t="str">
        <f t="shared" si="140"/>
        <v/>
      </c>
      <c r="BC209" s="67" t="str">
        <f t="shared" si="140"/>
        <v/>
      </c>
      <c r="BD209" s="60" t="str">
        <f>IFERROR(INDEX($E$3:$AI$3,MATCH($AN209&amp;BD$8&amp;ROW(N10),$E$21:$AI$21,0))&amp;"/"&amp;$AN$3,"")</f>
        <v/>
      </c>
    </row>
    <row r="210" spans="39:56" ht="18.75" thickBot="1">
      <c r="AM210" s="51" t="e">
        <f t="shared" si="139"/>
        <v>#REF!</v>
      </c>
      <c r="AN210" s="28" t="e">
        <f t="shared" si="141"/>
        <v>#REF!</v>
      </c>
      <c r="AO210" s="26"/>
      <c r="AP210" s="52" t="str">
        <f t="shared" si="142"/>
        <v/>
      </c>
      <c r="AQ210" s="53" t="str">
        <f t="shared" si="142"/>
        <v/>
      </c>
      <c r="AR210" s="53" t="str">
        <f t="shared" si="142"/>
        <v/>
      </c>
      <c r="AS210" s="52" t="str">
        <f t="shared" si="143"/>
        <v/>
      </c>
      <c r="AT210" s="53" t="str">
        <f t="shared" si="143"/>
        <v/>
      </c>
      <c r="AU210" s="53" t="str">
        <f t="shared" si="143"/>
        <v/>
      </c>
      <c r="AV210" s="52" t="str">
        <f t="shared" si="144"/>
        <v/>
      </c>
      <c r="AW210" s="53" t="str">
        <f t="shared" si="144"/>
        <v/>
      </c>
      <c r="AX210" s="54" t="str">
        <f t="shared" si="144"/>
        <v/>
      </c>
      <c r="AZ210" s="26" t="str">
        <f>AP210</f>
        <v/>
      </c>
      <c r="BA210" s="29"/>
      <c r="BB210" s="67" t="str">
        <f t="shared" si="140"/>
        <v/>
      </c>
      <c r="BC210" s="67" t="str">
        <f t="shared" si="140"/>
        <v/>
      </c>
      <c r="BD210" s="61" t="str">
        <f>IFERROR(INDEX($E$3:$AI$3,MATCH($AN210&amp;BD$8&amp;ROW(N11),$E$21:$AI$21,0))&amp;"/"&amp;$AN$3,"")</f>
        <v/>
      </c>
    </row>
    <row r="211" spans="39:56" ht="15.75" thickBot="1">
      <c r="BA211" s="22"/>
      <c r="BB211" s="67" t="str">
        <f t="shared" si="140"/>
        <v/>
      </c>
      <c r="BC211" s="67" t="str">
        <f t="shared" si="140"/>
        <v/>
      </c>
    </row>
    <row r="212" spans="39:56" ht="20.25">
      <c r="AM212" s="39"/>
      <c r="AN212" s="40"/>
      <c r="AO212" s="36"/>
      <c r="AP212" s="45" t="s">
        <v>247</v>
      </c>
      <c r="AQ212" s="37" t="s">
        <v>248</v>
      </c>
      <c r="AR212" s="37" t="s">
        <v>249</v>
      </c>
      <c r="AS212" s="45" t="s">
        <v>250</v>
      </c>
      <c r="AT212" s="37" t="s">
        <v>251</v>
      </c>
      <c r="AU212" s="37" t="s">
        <v>252</v>
      </c>
      <c r="AV212" s="45" t="s">
        <v>253</v>
      </c>
      <c r="AW212" s="37" t="s">
        <v>254</v>
      </c>
      <c r="AX212" s="38" t="s">
        <v>255</v>
      </c>
      <c r="AZ212" s="35" t="str">
        <f>$AN$3&amp;" Total"</f>
        <v>7/2021 Total</v>
      </c>
      <c r="BA212" s="47"/>
      <c r="BB212" s="66" t="str">
        <f>IF(COUNTBLANK(AP213:AX213)=9,"","Leave")</f>
        <v/>
      </c>
      <c r="BC212" s="66" t="str">
        <f>IFERROR(VLOOKUP(AM213,#REF!,4,FALSE),"")</f>
        <v/>
      </c>
      <c r="BD212" s="58" t="s">
        <v>256</v>
      </c>
    </row>
    <row r="213" spans="39:56" ht="20.25">
      <c r="AM213" s="25" t="e">
        <f>B22</f>
        <v>#REF!</v>
      </c>
      <c r="AN213" s="34" t="e">
        <f>D22</f>
        <v>#REF!</v>
      </c>
      <c r="AP213" s="46" t="str">
        <f t="shared" ref="AP213:AR218" si="145">IFERROR(INDEX($E$3:$AI$3,MATCH($AN213&amp;AP$8&amp;ROW(A1),$E$22:$AI$22,0))&amp;"/"&amp;$AN$3,"")</f>
        <v/>
      </c>
      <c r="AQ213" s="31" t="str">
        <f t="shared" si="145"/>
        <v/>
      </c>
      <c r="AR213" s="31" t="str">
        <f t="shared" si="145"/>
        <v/>
      </c>
      <c r="AS213" s="46" t="str">
        <f t="shared" ref="AS213:AU218" si="146">IFERROR(INDEX($E$3:$AI$3,MATCH($AN213&amp;AS$8&amp;ROW(D1),$E$22:$AI$22,0))&amp;"/"&amp;$AN$3,"")</f>
        <v/>
      </c>
      <c r="AT213" s="31" t="str">
        <f t="shared" si="146"/>
        <v/>
      </c>
      <c r="AU213" s="31" t="str">
        <f t="shared" si="146"/>
        <v/>
      </c>
      <c r="AV213" s="46" t="str">
        <f t="shared" ref="AV213:AX218" si="147">IFERROR(INDEX($E$3:$AI$3,MATCH($AN213&amp;AV$8&amp;ROW(G1),$E$22:$AI$22,0))&amp;"/"&amp;$AN$3,"")</f>
        <v/>
      </c>
      <c r="AW213" s="31" t="str">
        <f t="shared" si="147"/>
        <v/>
      </c>
      <c r="AX213" s="32" t="str">
        <f t="shared" si="147"/>
        <v/>
      </c>
      <c r="AZ213" s="48" t="s">
        <v>257</v>
      </c>
      <c r="BA213" s="49">
        <f>COUNTA(AP213:AP222)-COUNTBLANK(AP213:AP222)+(COUNTA(AQ213:AQ222)-COUNTBLANK(AQ213:AQ222))*0.5+(COUNTA(AR213:AR222)-COUNTBLANK(AR213:AR222))*0.5</f>
        <v>0</v>
      </c>
      <c r="BB213" s="67" t="str">
        <f>BB212</f>
        <v/>
      </c>
      <c r="BC213" s="67" t="str">
        <f>BC212</f>
        <v/>
      </c>
      <c r="BD213" s="59" t="str">
        <f t="shared" ref="BD213:BD218" si="148">IFERROR(INDEX($E$3:$AI$3,MATCH($AN213&amp;BD$8&amp;ROW(N1),$E$22:$AI$22,0))&amp;"/"&amp;$AN$3,"")</f>
        <v/>
      </c>
    </row>
    <row r="214" spans="39:56" ht="18.75">
      <c r="AM214" s="30" t="e">
        <f t="shared" ref="AM214:AM222" si="149">AM213</f>
        <v>#REF!</v>
      </c>
      <c r="AN214" s="27" t="e">
        <f>AN213</f>
        <v>#REF!</v>
      </c>
      <c r="AP214" s="46" t="str">
        <f t="shared" si="145"/>
        <v/>
      </c>
      <c r="AQ214" s="31" t="str">
        <f t="shared" si="145"/>
        <v/>
      </c>
      <c r="AR214" s="31" t="str">
        <f t="shared" si="145"/>
        <v/>
      </c>
      <c r="AS214" s="46" t="str">
        <f t="shared" si="146"/>
        <v/>
      </c>
      <c r="AT214" s="31" t="str">
        <f t="shared" si="146"/>
        <v/>
      </c>
      <c r="AU214" s="31" t="str">
        <f t="shared" si="146"/>
        <v/>
      </c>
      <c r="AV214" s="46" t="str">
        <f t="shared" si="147"/>
        <v/>
      </c>
      <c r="AW214" s="31" t="str">
        <f t="shared" si="147"/>
        <v/>
      </c>
      <c r="AX214" s="32" t="str">
        <f t="shared" si="147"/>
        <v/>
      </c>
      <c r="AZ214" s="48" t="s">
        <v>258</v>
      </c>
      <c r="BA214" s="49">
        <f>COUNTA(AS213:AS222)-COUNTBLANK(AS213:AS222)+(COUNTA(AT213:AT222)-COUNTBLANK(AT213:AT222))*0.5+(COUNTA(AU213:AU222)-COUNTBLANK(AU213:AU222))*0.5</f>
        <v>0</v>
      </c>
      <c r="BB214" s="67" t="str">
        <f t="shared" ref="BB214:BC223" si="150">BB213</f>
        <v/>
      </c>
      <c r="BC214" s="67" t="str">
        <f t="shared" si="150"/>
        <v/>
      </c>
      <c r="BD214" s="60" t="str">
        <f t="shared" si="148"/>
        <v/>
      </c>
    </row>
    <row r="215" spans="39:56" ht="18.75">
      <c r="AM215" s="30" t="e">
        <f t="shared" si="149"/>
        <v>#REF!</v>
      </c>
      <c r="AN215" s="27" t="e">
        <f t="shared" ref="AN215:AN222" si="151">AN214</f>
        <v>#REF!</v>
      </c>
      <c r="AP215" s="46" t="str">
        <f t="shared" si="145"/>
        <v/>
      </c>
      <c r="AQ215" s="31" t="str">
        <f t="shared" si="145"/>
        <v/>
      </c>
      <c r="AR215" s="31" t="str">
        <f t="shared" si="145"/>
        <v/>
      </c>
      <c r="AS215" s="46" t="str">
        <f t="shared" si="146"/>
        <v/>
      </c>
      <c r="AT215" s="31" t="str">
        <f t="shared" si="146"/>
        <v/>
      </c>
      <c r="AU215" s="31" t="str">
        <f t="shared" si="146"/>
        <v/>
      </c>
      <c r="AV215" s="46" t="str">
        <f t="shared" si="147"/>
        <v/>
      </c>
      <c r="AW215" s="31" t="str">
        <f t="shared" si="147"/>
        <v/>
      </c>
      <c r="AX215" s="32" t="str">
        <f t="shared" si="147"/>
        <v/>
      </c>
      <c r="AZ215" s="48" t="s">
        <v>259</v>
      </c>
      <c r="BA215" s="49">
        <f>COUNTA(AV213:AV222)-COUNTBLANK(AV213:AV222)+(COUNTA(AW213:AW222)-COUNTBLANK(AW213:AW222))*0.5+(COUNTA(AX213:AX222)-COUNTBLANK(AX213:AX222))*0.5</f>
        <v>0</v>
      </c>
      <c r="BB215" s="67" t="str">
        <f t="shared" si="150"/>
        <v/>
      </c>
      <c r="BC215" s="67" t="str">
        <f t="shared" si="150"/>
        <v/>
      </c>
      <c r="BD215" s="60" t="str">
        <f t="shared" si="148"/>
        <v/>
      </c>
    </row>
    <row r="216" spans="39:56" ht="20.25">
      <c r="AM216" s="30" t="e">
        <f t="shared" si="149"/>
        <v>#REF!</v>
      </c>
      <c r="AN216" s="27" t="e">
        <f t="shared" si="151"/>
        <v>#REF!</v>
      </c>
      <c r="AP216" s="46" t="str">
        <f t="shared" si="145"/>
        <v/>
      </c>
      <c r="AQ216" s="31" t="str">
        <f t="shared" si="145"/>
        <v/>
      </c>
      <c r="AR216" s="31" t="str">
        <f t="shared" si="145"/>
        <v/>
      </c>
      <c r="AS216" s="46" t="str">
        <f t="shared" si="146"/>
        <v/>
      </c>
      <c r="AT216" s="31" t="str">
        <f t="shared" si="146"/>
        <v/>
      </c>
      <c r="AU216" s="31" t="str">
        <f t="shared" si="146"/>
        <v/>
      </c>
      <c r="AV216" s="46" t="str">
        <f t="shared" si="147"/>
        <v/>
      </c>
      <c r="AW216" s="31" t="str">
        <f t="shared" si="147"/>
        <v/>
      </c>
      <c r="AX216" s="32" t="str">
        <f t="shared" si="147"/>
        <v/>
      </c>
      <c r="AZ216" s="33"/>
      <c r="BA216" s="23"/>
      <c r="BB216" s="67" t="str">
        <f t="shared" si="150"/>
        <v/>
      </c>
      <c r="BC216" s="67" t="str">
        <f t="shared" si="150"/>
        <v/>
      </c>
      <c r="BD216" s="60" t="str">
        <f t="shared" si="148"/>
        <v/>
      </c>
    </row>
    <row r="217" spans="39:56" ht="18">
      <c r="AM217" s="30" t="e">
        <f t="shared" si="149"/>
        <v>#REF!</v>
      </c>
      <c r="AN217" s="27" t="e">
        <f t="shared" si="151"/>
        <v>#REF!</v>
      </c>
      <c r="AP217" s="46" t="str">
        <f t="shared" si="145"/>
        <v/>
      </c>
      <c r="AQ217" s="31" t="str">
        <f t="shared" si="145"/>
        <v/>
      </c>
      <c r="AR217" s="31" t="str">
        <f t="shared" si="145"/>
        <v/>
      </c>
      <c r="AS217" s="46" t="str">
        <f t="shared" si="146"/>
        <v/>
      </c>
      <c r="AT217" s="31" t="str">
        <f t="shared" si="146"/>
        <v/>
      </c>
      <c r="AU217" s="31" t="str">
        <f t="shared" si="146"/>
        <v/>
      </c>
      <c r="AV217" s="46" t="str">
        <f t="shared" si="147"/>
        <v/>
      </c>
      <c r="AW217" s="31" t="str">
        <f t="shared" si="147"/>
        <v/>
      </c>
      <c r="AX217" s="32" t="str">
        <f t="shared" si="147"/>
        <v/>
      </c>
      <c r="AZ217" s="33"/>
      <c r="BB217" s="67" t="str">
        <f t="shared" si="150"/>
        <v/>
      </c>
      <c r="BC217" s="67" t="str">
        <f t="shared" si="150"/>
        <v/>
      </c>
      <c r="BD217" s="60" t="str">
        <f t="shared" si="148"/>
        <v/>
      </c>
    </row>
    <row r="218" spans="39:56" ht="20.25">
      <c r="AM218" s="30" t="e">
        <f t="shared" si="149"/>
        <v>#REF!</v>
      </c>
      <c r="AN218" s="27" t="e">
        <f t="shared" si="151"/>
        <v>#REF!</v>
      </c>
      <c r="AP218" s="46" t="str">
        <f t="shared" si="145"/>
        <v/>
      </c>
      <c r="AQ218" s="31" t="str">
        <f t="shared" si="145"/>
        <v/>
      </c>
      <c r="AR218" s="31" t="str">
        <f t="shared" si="145"/>
        <v/>
      </c>
      <c r="AS218" s="46" t="str">
        <f t="shared" si="146"/>
        <v/>
      </c>
      <c r="AT218" s="31" t="str">
        <f t="shared" si="146"/>
        <v/>
      </c>
      <c r="AU218" s="31" t="str">
        <f t="shared" si="146"/>
        <v/>
      </c>
      <c r="AV218" s="46" t="str">
        <f t="shared" si="147"/>
        <v/>
      </c>
      <c r="AW218" s="31" t="str">
        <f t="shared" si="147"/>
        <v/>
      </c>
      <c r="AX218" s="32" t="str">
        <f t="shared" si="147"/>
        <v/>
      </c>
      <c r="AZ218" s="23" t="s">
        <v>260</v>
      </c>
      <c r="BB218" s="67" t="str">
        <f t="shared" si="150"/>
        <v/>
      </c>
      <c r="BC218" s="67" t="str">
        <f t="shared" si="150"/>
        <v/>
      </c>
      <c r="BD218" s="60" t="str">
        <f t="shared" si="148"/>
        <v/>
      </c>
    </row>
    <row r="219" spans="39:56" ht="18">
      <c r="AM219" s="30" t="e">
        <f t="shared" si="149"/>
        <v>#REF!</v>
      </c>
      <c r="AN219" s="27" t="e">
        <f t="shared" si="151"/>
        <v>#REF!</v>
      </c>
      <c r="AP219" s="46" t="str">
        <f t="shared" ref="AP219:AR222" si="152">IFERROR(INDEX($E$3:$AI$3,MATCH($AN219&amp;AP$8&amp;ROW(A8),$E$22:$AI$22,0))&amp;"/"&amp;$AN$3,"")</f>
        <v/>
      </c>
      <c r="AQ219" s="31" t="str">
        <f t="shared" si="152"/>
        <v/>
      </c>
      <c r="AR219" s="31" t="str">
        <f t="shared" si="152"/>
        <v/>
      </c>
      <c r="AS219" s="46" t="str">
        <f t="shared" ref="AS219:AU222" si="153">IFERROR(INDEX($E$3:$AI$3,MATCH($AN219&amp;AS$8&amp;ROW(D8),$E$22:$AI$22,0))&amp;"/"&amp;$AN$3,"")</f>
        <v/>
      </c>
      <c r="AT219" s="31" t="str">
        <f t="shared" si="153"/>
        <v/>
      </c>
      <c r="AU219" s="31" t="str">
        <f t="shared" si="153"/>
        <v/>
      </c>
      <c r="AV219" s="46" t="str">
        <f t="shared" ref="AV219:AX222" si="154">IFERROR(INDEX($E$3:$AI$3,MATCH($AN219&amp;AV$8&amp;ROW(G8),$E$22:$AI$22,0))&amp;"/"&amp;$AN$3,"")</f>
        <v/>
      </c>
      <c r="AW219" s="31" t="str">
        <f t="shared" si="154"/>
        <v/>
      </c>
      <c r="AX219" s="32" t="str">
        <f t="shared" si="154"/>
        <v/>
      </c>
      <c r="AZ219" s="33"/>
      <c r="BB219" s="67" t="str">
        <f t="shared" si="150"/>
        <v/>
      </c>
      <c r="BC219" s="67" t="str">
        <f t="shared" si="150"/>
        <v/>
      </c>
      <c r="BD219" s="60" t="str">
        <f>IFERROR(INDEX($E$3:$AI$3,MATCH($AN219&amp;BD$8&amp;ROW(N8),$E$22:$AI$22,0))&amp;"/"&amp;$AN$3,"")</f>
        <v/>
      </c>
    </row>
    <row r="220" spans="39:56" ht="18">
      <c r="AM220" s="30" t="e">
        <f t="shared" si="149"/>
        <v>#REF!</v>
      </c>
      <c r="AN220" s="27" t="e">
        <f t="shared" si="151"/>
        <v>#REF!</v>
      </c>
      <c r="AP220" s="46" t="str">
        <f t="shared" si="152"/>
        <v/>
      </c>
      <c r="AQ220" s="31" t="str">
        <f t="shared" si="152"/>
        <v/>
      </c>
      <c r="AR220" s="31" t="str">
        <f t="shared" si="152"/>
        <v/>
      </c>
      <c r="AS220" s="46" t="str">
        <f t="shared" si="153"/>
        <v/>
      </c>
      <c r="AT220" s="31" t="str">
        <f t="shared" si="153"/>
        <v/>
      </c>
      <c r="AU220" s="31" t="str">
        <f t="shared" si="153"/>
        <v/>
      </c>
      <c r="AV220" s="46" t="str">
        <f t="shared" si="154"/>
        <v/>
      </c>
      <c r="AW220" s="31" t="str">
        <f t="shared" si="154"/>
        <v/>
      </c>
      <c r="AX220" s="32" t="str">
        <f t="shared" si="154"/>
        <v/>
      </c>
      <c r="BB220" s="67" t="str">
        <f t="shared" si="150"/>
        <v/>
      </c>
      <c r="BC220" s="67" t="str">
        <f t="shared" si="150"/>
        <v/>
      </c>
      <c r="BD220" s="60" t="str">
        <f>IFERROR(INDEX($E$3:$AI$3,MATCH($AN220&amp;BD$8&amp;ROW(N9),$E$22:$AI$22,0))&amp;"/"&amp;$AN$3,"")</f>
        <v/>
      </c>
    </row>
    <row r="221" spans="39:56" ht="18">
      <c r="AM221" s="30" t="e">
        <f t="shared" si="149"/>
        <v>#REF!</v>
      </c>
      <c r="AN221" s="27" t="e">
        <f t="shared" si="151"/>
        <v>#REF!</v>
      </c>
      <c r="AP221" s="46" t="str">
        <f t="shared" si="152"/>
        <v/>
      </c>
      <c r="AQ221" s="31" t="str">
        <f t="shared" si="152"/>
        <v/>
      </c>
      <c r="AR221" s="31" t="str">
        <f t="shared" si="152"/>
        <v/>
      </c>
      <c r="AS221" s="46" t="str">
        <f t="shared" si="153"/>
        <v/>
      </c>
      <c r="AT221" s="31" t="str">
        <f t="shared" si="153"/>
        <v/>
      </c>
      <c r="AU221" s="31" t="str">
        <f t="shared" si="153"/>
        <v/>
      </c>
      <c r="AV221" s="46" t="str">
        <f t="shared" si="154"/>
        <v/>
      </c>
      <c r="AW221" s="31" t="str">
        <f t="shared" si="154"/>
        <v/>
      </c>
      <c r="AX221" s="32" t="str">
        <f t="shared" si="154"/>
        <v/>
      </c>
      <c r="BB221" s="67" t="str">
        <f t="shared" si="150"/>
        <v/>
      </c>
      <c r="BC221" s="67" t="str">
        <f t="shared" si="150"/>
        <v/>
      </c>
      <c r="BD221" s="60" t="str">
        <f>IFERROR(INDEX($E$3:$AI$3,MATCH($AN221&amp;BD$8&amp;ROW(N10),$E$22:$AI$22,0))&amp;"/"&amp;$AN$3,"")</f>
        <v/>
      </c>
    </row>
    <row r="222" spans="39:56" ht="18.75" thickBot="1">
      <c r="AM222" s="51" t="e">
        <f t="shared" si="149"/>
        <v>#REF!</v>
      </c>
      <c r="AN222" s="28" t="e">
        <f t="shared" si="151"/>
        <v>#REF!</v>
      </c>
      <c r="AO222" s="26"/>
      <c r="AP222" s="52" t="str">
        <f t="shared" si="152"/>
        <v/>
      </c>
      <c r="AQ222" s="53" t="str">
        <f t="shared" si="152"/>
        <v/>
      </c>
      <c r="AR222" s="53" t="str">
        <f t="shared" si="152"/>
        <v/>
      </c>
      <c r="AS222" s="52" t="str">
        <f t="shared" si="153"/>
        <v/>
      </c>
      <c r="AT222" s="53" t="str">
        <f t="shared" si="153"/>
        <v/>
      </c>
      <c r="AU222" s="53" t="str">
        <f t="shared" si="153"/>
        <v/>
      </c>
      <c r="AV222" s="52" t="str">
        <f t="shared" si="154"/>
        <v/>
      </c>
      <c r="AW222" s="53" t="str">
        <f t="shared" si="154"/>
        <v/>
      </c>
      <c r="AX222" s="54" t="str">
        <f t="shared" si="154"/>
        <v/>
      </c>
      <c r="AZ222" s="26" t="str">
        <f>AP222</f>
        <v/>
      </c>
      <c r="BA222" s="29"/>
      <c r="BB222" s="67" t="str">
        <f t="shared" si="150"/>
        <v/>
      </c>
      <c r="BC222" s="67" t="str">
        <f t="shared" si="150"/>
        <v/>
      </c>
      <c r="BD222" s="61" t="str">
        <f>IFERROR(INDEX($E$3:$AI$3,MATCH($AN222&amp;BD$8&amp;ROW(N11),$E$22:$AI$22,0))&amp;"/"&amp;$AN$3,"")</f>
        <v/>
      </c>
    </row>
    <row r="223" spans="39:56" ht="15.75" thickBot="1">
      <c r="BA223" s="22"/>
      <c r="BB223" s="67" t="str">
        <f t="shared" si="150"/>
        <v/>
      </c>
      <c r="BC223" s="67" t="str">
        <f t="shared" si="150"/>
        <v/>
      </c>
    </row>
    <row r="224" spans="39:56" ht="20.25">
      <c r="AM224" s="39"/>
      <c r="AN224" s="40"/>
      <c r="AO224" s="36"/>
      <c r="AP224" s="45" t="s">
        <v>247</v>
      </c>
      <c r="AQ224" s="37" t="s">
        <v>248</v>
      </c>
      <c r="AR224" s="37" t="s">
        <v>249</v>
      </c>
      <c r="AS224" s="45" t="s">
        <v>250</v>
      </c>
      <c r="AT224" s="37" t="s">
        <v>251</v>
      </c>
      <c r="AU224" s="37" t="s">
        <v>252</v>
      </c>
      <c r="AV224" s="45" t="s">
        <v>253</v>
      </c>
      <c r="AW224" s="37" t="s">
        <v>254</v>
      </c>
      <c r="AX224" s="38" t="s">
        <v>255</v>
      </c>
      <c r="AZ224" s="35" t="str">
        <f>$AN$3&amp;" Total"</f>
        <v>7/2021 Total</v>
      </c>
      <c r="BA224" s="47"/>
      <c r="BB224" s="66" t="str">
        <f>IF(COUNTBLANK(AP225:AX225)=9,"","Leave")</f>
        <v/>
      </c>
      <c r="BC224" s="66" t="str">
        <f>IFERROR(VLOOKUP(AM225,#REF!,4,FALSE),"")</f>
        <v/>
      </c>
      <c r="BD224" s="58" t="s">
        <v>256</v>
      </c>
    </row>
    <row r="225" spans="39:56" ht="20.25">
      <c r="AM225" s="25" t="e">
        <f>B23</f>
        <v>#REF!</v>
      </c>
      <c r="AN225" s="34" t="e">
        <f>D23</f>
        <v>#REF!</v>
      </c>
      <c r="AP225" s="46" t="str">
        <f t="shared" ref="AP225:AR230" si="155">IFERROR(INDEX($E$3:$AI$3,MATCH($AN225&amp;AP$8&amp;ROW(A1),$E$23:$AI$23,0))&amp;"/"&amp;$AN$3,"")</f>
        <v/>
      </c>
      <c r="AQ225" s="31" t="str">
        <f t="shared" si="155"/>
        <v/>
      </c>
      <c r="AR225" s="31" t="str">
        <f t="shared" si="155"/>
        <v/>
      </c>
      <c r="AS225" s="46" t="str">
        <f t="shared" ref="AS225:AU230" si="156">IFERROR(INDEX($E$3:$AI$3,MATCH($AN225&amp;AS$8&amp;ROW(D1),$E$23:$AI$23,0))&amp;"/"&amp;$AN$3,"")</f>
        <v/>
      </c>
      <c r="AT225" s="31" t="str">
        <f t="shared" si="156"/>
        <v/>
      </c>
      <c r="AU225" s="31" t="str">
        <f t="shared" si="156"/>
        <v/>
      </c>
      <c r="AV225" s="46" t="str">
        <f t="shared" ref="AV225:AX230" si="157">IFERROR(INDEX($E$3:$AI$3,MATCH($AN225&amp;AV$8&amp;ROW(G1),$E$23:$AI$23,0))&amp;"/"&amp;$AN$3,"")</f>
        <v/>
      </c>
      <c r="AW225" s="31" t="str">
        <f t="shared" si="157"/>
        <v/>
      </c>
      <c r="AX225" s="32" t="str">
        <f t="shared" si="157"/>
        <v/>
      </c>
      <c r="AZ225" s="48" t="s">
        <v>257</v>
      </c>
      <c r="BA225" s="49">
        <f>COUNTA(AP225:AP234)-COUNTBLANK(AP225:AP234)+(COUNTA(AQ225:AQ234)-COUNTBLANK(AQ225:AQ234))*0.5+(COUNTA(AR225:AR234)-COUNTBLANK(AR225:AR234))*0.5</f>
        <v>0</v>
      </c>
      <c r="BB225" s="67" t="str">
        <f>BB224</f>
        <v/>
      </c>
      <c r="BC225" s="67" t="str">
        <f>BC224</f>
        <v/>
      </c>
      <c r="BD225" s="59" t="str">
        <f t="shared" ref="BD225:BD230" si="158">IFERROR(INDEX($E$3:$AI$3,MATCH($AN225&amp;BD$8&amp;ROW(N1),$E$23:$AI$23,0))&amp;"/"&amp;$AN$3,"")</f>
        <v/>
      </c>
    </row>
    <row r="226" spans="39:56" ht="18.75">
      <c r="AM226" s="30" t="e">
        <f t="shared" ref="AM226:AM234" si="159">AM225</f>
        <v>#REF!</v>
      </c>
      <c r="AN226" s="27" t="e">
        <f>AN225</f>
        <v>#REF!</v>
      </c>
      <c r="AP226" s="46" t="str">
        <f t="shared" si="155"/>
        <v/>
      </c>
      <c r="AQ226" s="31" t="str">
        <f t="shared" si="155"/>
        <v/>
      </c>
      <c r="AR226" s="31" t="str">
        <f t="shared" si="155"/>
        <v/>
      </c>
      <c r="AS226" s="46" t="str">
        <f t="shared" si="156"/>
        <v/>
      </c>
      <c r="AT226" s="31" t="str">
        <f t="shared" si="156"/>
        <v/>
      </c>
      <c r="AU226" s="31" t="str">
        <f t="shared" si="156"/>
        <v/>
      </c>
      <c r="AV226" s="46" t="str">
        <f t="shared" si="157"/>
        <v/>
      </c>
      <c r="AW226" s="31" t="str">
        <f t="shared" si="157"/>
        <v/>
      </c>
      <c r="AX226" s="32" t="str">
        <f t="shared" si="157"/>
        <v/>
      </c>
      <c r="AZ226" s="48" t="s">
        <v>258</v>
      </c>
      <c r="BA226" s="49">
        <f>COUNTA(AS225:AS234)-COUNTBLANK(AS225:AS234)+(COUNTA(AT225:AT234)-COUNTBLANK(AT225:AT234))*0.5+(COUNTA(AU225:AU234)-COUNTBLANK(AU225:AU234))*0.5</f>
        <v>0</v>
      </c>
      <c r="BB226" s="67" t="str">
        <f t="shared" ref="BB226:BC235" si="160">BB225</f>
        <v/>
      </c>
      <c r="BC226" s="67" t="str">
        <f t="shared" si="160"/>
        <v/>
      </c>
      <c r="BD226" s="60" t="str">
        <f t="shared" si="158"/>
        <v/>
      </c>
    </row>
    <row r="227" spans="39:56" ht="18.75">
      <c r="AM227" s="30" t="e">
        <f t="shared" si="159"/>
        <v>#REF!</v>
      </c>
      <c r="AN227" s="27" t="e">
        <f t="shared" ref="AN227:AN234" si="161">AN226</f>
        <v>#REF!</v>
      </c>
      <c r="AP227" s="46" t="str">
        <f t="shared" si="155"/>
        <v/>
      </c>
      <c r="AQ227" s="31" t="str">
        <f t="shared" si="155"/>
        <v/>
      </c>
      <c r="AR227" s="31" t="str">
        <f t="shared" si="155"/>
        <v/>
      </c>
      <c r="AS227" s="46" t="str">
        <f t="shared" si="156"/>
        <v/>
      </c>
      <c r="AT227" s="31" t="str">
        <f t="shared" si="156"/>
        <v/>
      </c>
      <c r="AU227" s="31" t="str">
        <f t="shared" si="156"/>
        <v/>
      </c>
      <c r="AV227" s="46" t="str">
        <f t="shared" si="157"/>
        <v/>
      </c>
      <c r="AW227" s="31" t="str">
        <f t="shared" si="157"/>
        <v/>
      </c>
      <c r="AX227" s="32" t="str">
        <f t="shared" si="157"/>
        <v/>
      </c>
      <c r="AZ227" s="48" t="s">
        <v>259</v>
      </c>
      <c r="BA227" s="49">
        <f>COUNTA(AV225:AV234)-COUNTBLANK(AV225:AV234)+(COUNTA(AW225:AW234)-COUNTBLANK(AW225:AW234))*0.5+(COUNTA(AX225:AX234)-COUNTBLANK(AX225:AX234))*0.5</f>
        <v>0</v>
      </c>
      <c r="BB227" s="67" t="str">
        <f t="shared" si="160"/>
        <v/>
      </c>
      <c r="BC227" s="67" t="str">
        <f t="shared" si="160"/>
        <v/>
      </c>
      <c r="BD227" s="60" t="str">
        <f t="shared" si="158"/>
        <v/>
      </c>
    </row>
    <row r="228" spans="39:56" ht="20.25">
      <c r="AM228" s="30" t="e">
        <f t="shared" si="159"/>
        <v>#REF!</v>
      </c>
      <c r="AN228" s="27" t="e">
        <f t="shared" si="161"/>
        <v>#REF!</v>
      </c>
      <c r="AP228" s="46" t="str">
        <f t="shared" si="155"/>
        <v/>
      </c>
      <c r="AQ228" s="31" t="str">
        <f t="shared" si="155"/>
        <v/>
      </c>
      <c r="AR228" s="31" t="str">
        <f t="shared" si="155"/>
        <v/>
      </c>
      <c r="AS228" s="46" t="str">
        <f t="shared" si="156"/>
        <v/>
      </c>
      <c r="AT228" s="31" t="str">
        <f t="shared" si="156"/>
        <v/>
      </c>
      <c r="AU228" s="31" t="str">
        <f t="shared" si="156"/>
        <v/>
      </c>
      <c r="AV228" s="46" t="str">
        <f t="shared" si="157"/>
        <v/>
      </c>
      <c r="AW228" s="31" t="str">
        <f t="shared" si="157"/>
        <v/>
      </c>
      <c r="AX228" s="32" t="str">
        <f t="shared" si="157"/>
        <v/>
      </c>
      <c r="AZ228" s="33"/>
      <c r="BA228" s="23"/>
      <c r="BB228" s="67" t="str">
        <f t="shared" si="160"/>
        <v/>
      </c>
      <c r="BC228" s="67" t="str">
        <f t="shared" si="160"/>
        <v/>
      </c>
      <c r="BD228" s="60" t="str">
        <f t="shared" si="158"/>
        <v/>
      </c>
    </row>
    <row r="229" spans="39:56" ht="18">
      <c r="AM229" s="30" t="e">
        <f t="shared" si="159"/>
        <v>#REF!</v>
      </c>
      <c r="AN229" s="27" t="e">
        <f t="shared" si="161"/>
        <v>#REF!</v>
      </c>
      <c r="AP229" s="46" t="str">
        <f t="shared" si="155"/>
        <v/>
      </c>
      <c r="AQ229" s="31" t="str">
        <f t="shared" si="155"/>
        <v/>
      </c>
      <c r="AR229" s="31" t="str">
        <f t="shared" si="155"/>
        <v/>
      </c>
      <c r="AS229" s="46" t="str">
        <f t="shared" si="156"/>
        <v/>
      </c>
      <c r="AT229" s="31" t="str">
        <f t="shared" si="156"/>
        <v/>
      </c>
      <c r="AU229" s="31" t="str">
        <f t="shared" si="156"/>
        <v/>
      </c>
      <c r="AV229" s="46" t="str">
        <f t="shared" si="157"/>
        <v/>
      </c>
      <c r="AW229" s="31" t="str">
        <f t="shared" si="157"/>
        <v/>
      </c>
      <c r="AX229" s="32" t="str">
        <f t="shared" si="157"/>
        <v/>
      </c>
      <c r="AZ229" s="33"/>
      <c r="BB229" s="67" t="str">
        <f t="shared" si="160"/>
        <v/>
      </c>
      <c r="BC229" s="67" t="str">
        <f t="shared" si="160"/>
        <v/>
      </c>
      <c r="BD229" s="60" t="str">
        <f t="shared" si="158"/>
        <v/>
      </c>
    </row>
    <row r="230" spans="39:56" ht="20.25">
      <c r="AM230" s="30" t="e">
        <f t="shared" si="159"/>
        <v>#REF!</v>
      </c>
      <c r="AN230" s="27" t="e">
        <f t="shared" si="161"/>
        <v>#REF!</v>
      </c>
      <c r="AP230" s="46" t="str">
        <f t="shared" si="155"/>
        <v/>
      </c>
      <c r="AQ230" s="31" t="str">
        <f t="shared" si="155"/>
        <v/>
      </c>
      <c r="AR230" s="31" t="str">
        <f t="shared" si="155"/>
        <v/>
      </c>
      <c r="AS230" s="46" t="str">
        <f t="shared" si="156"/>
        <v/>
      </c>
      <c r="AT230" s="31" t="str">
        <f t="shared" si="156"/>
        <v/>
      </c>
      <c r="AU230" s="31" t="str">
        <f t="shared" si="156"/>
        <v/>
      </c>
      <c r="AV230" s="46" t="str">
        <f t="shared" si="157"/>
        <v/>
      </c>
      <c r="AW230" s="31" t="str">
        <f t="shared" si="157"/>
        <v/>
      </c>
      <c r="AX230" s="32" t="str">
        <f t="shared" si="157"/>
        <v/>
      </c>
      <c r="AZ230" s="23" t="s">
        <v>260</v>
      </c>
      <c r="BB230" s="67" t="str">
        <f t="shared" si="160"/>
        <v/>
      </c>
      <c r="BC230" s="67" t="str">
        <f t="shared" si="160"/>
        <v/>
      </c>
      <c r="BD230" s="60" t="str">
        <f t="shared" si="158"/>
        <v/>
      </c>
    </row>
    <row r="231" spans="39:56" ht="18">
      <c r="AM231" s="30" t="e">
        <f t="shared" si="159"/>
        <v>#REF!</v>
      </c>
      <c r="AN231" s="27" t="e">
        <f t="shared" si="161"/>
        <v>#REF!</v>
      </c>
      <c r="AP231" s="46" t="str">
        <f t="shared" ref="AP231:AR234" si="162">IFERROR(INDEX($E$3:$AI$3,MATCH($AN231&amp;AP$8&amp;ROW(A8),$E$23:$AI$23,0))&amp;"/"&amp;$AN$3,"")</f>
        <v/>
      </c>
      <c r="AQ231" s="31" t="str">
        <f t="shared" si="162"/>
        <v/>
      </c>
      <c r="AR231" s="31" t="str">
        <f t="shared" si="162"/>
        <v/>
      </c>
      <c r="AS231" s="46" t="str">
        <f t="shared" ref="AS231:AU234" si="163">IFERROR(INDEX($E$3:$AI$3,MATCH($AN231&amp;AS$8&amp;ROW(D8),$E$23:$AI$23,0))&amp;"/"&amp;$AN$3,"")</f>
        <v/>
      </c>
      <c r="AT231" s="31" t="str">
        <f t="shared" si="163"/>
        <v/>
      </c>
      <c r="AU231" s="31" t="str">
        <f t="shared" si="163"/>
        <v/>
      </c>
      <c r="AV231" s="46" t="str">
        <f t="shared" ref="AV231:AX234" si="164">IFERROR(INDEX($E$3:$AI$3,MATCH($AN231&amp;AV$8&amp;ROW(G8),$E$23:$AI$23,0))&amp;"/"&amp;$AN$3,"")</f>
        <v/>
      </c>
      <c r="AW231" s="31" t="str">
        <f t="shared" si="164"/>
        <v/>
      </c>
      <c r="AX231" s="32" t="str">
        <f t="shared" si="164"/>
        <v/>
      </c>
      <c r="AZ231" s="33"/>
      <c r="BB231" s="67" t="str">
        <f t="shared" si="160"/>
        <v/>
      </c>
      <c r="BC231" s="67" t="str">
        <f t="shared" si="160"/>
        <v/>
      </c>
      <c r="BD231" s="60" t="str">
        <f>IFERROR(INDEX($E$3:$AI$3,MATCH($AN231&amp;BD$8&amp;ROW(N8),$E$23:$AI$23,0))&amp;"/"&amp;$AN$3,"")</f>
        <v/>
      </c>
    </row>
    <row r="232" spans="39:56" ht="18">
      <c r="AM232" s="30" t="e">
        <f t="shared" si="159"/>
        <v>#REF!</v>
      </c>
      <c r="AN232" s="27" t="e">
        <f t="shared" si="161"/>
        <v>#REF!</v>
      </c>
      <c r="AP232" s="46" t="str">
        <f t="shared" si="162"/>
        <v/>
      </c>
      <c r="AQ232" s="31" t="str">
        <f t="shared" si="162"/>
        <v/>
      </c>
      <c r="AR232" s="31" t="str">
        <f t="shared" si="162"/>
        <v/>
      </c>
      <c r="AS232" s="46" t="str">
        <f t="shared" si="163"/>
        <v/>
      </c>
      <c r="AT232" s="31" t="str">
        <f t="shared" si="163"/>
        <v/>
      </c>
      <c r="AU232" s="31" t="str">
        <f t="shared" si="163"/>
        <v/>
      </c>
      <c r="AV232" s="46" t="str">
        <f t="shared" si="164"/>
        <v/>
      </c>
      <c r="AW232" s="31" t="str">
        <f t="shared" si="164"/>
        <v/>
      </c>
      <c r="AX232" s="32" t="str">
        <f t="shared" si="164"/>
        <v/>
      </c>
      <c r="BB232" s="67" t="str">
        <f t="shared" si="160"/>
        <v/>
      </c>
      <c r="BC232" s="67" t="str">
        <f t="shared" si="160"/>
        <v/>
      </c>
      <c r="BD232" s="60" t="str">
        <f>IFERROR(INDEX($E$3:$AI$3,MATCH($AN232&amp;BD$8&amp;ROW(N9),$E$23:$AI$23,0))&amp;"/"&amp;$AN$3,"")</f>
        <v/>
      </c>
    </row>
    <row r="233" spans="39:56" ht="18">
      <c r="AM233" s="30" t="e">
        <f t="shared" si="159"/>
        <v>#REF!</v>
      </c>
      <c r="AN233" s="27" t="e">
        <f t="shared" si="161"/>
        <v>#REF!</v>
      </c>
      <c r="AP233" s="46" t="str">
        <f t="shared" si="162"/>
        <v/>
      </c>
      <c r="AQ233" s="31" t="str">
        <f t="shared" si="162"/>
        <v/>
      </c>
      <c r="AR233" s="31" t="str">
        <f t="shared" si="162"/>
        <v/>
      </c>
      <c r="AS233" s="46" t="str">
        <f t="shared" si="163"/>
        <v/>
      </c>
      <c r="AT233" s="31" t="str">
        <f t="shared" si="163"/>
        <v/>
      </c>
      <c r="AU233" s="31" t="str">
        <f t="shared" si="163"/>
        <v/>
      </c>
      <c r="AV233" s="46" t="str">
        <f t="shared" si="164"/>
        <v/>
      </c>
      <c r="AW233" s="31" t="str">
        <f t="shared" si="164"/>
        <v/>
      </c>
      <c r="AX233" s="32" t="str">
        <f t="shared" si="164"/>
        <v/>
      </c>
      <c r="BB233" s="67" t="str">
        <f t="shared" si="160"/>
        <v/>
      </c>
      <c r="BC233" s="67" t="str">
        <f t="shared" si="160"/>
        <v/>
      </c>
      <c r="BD233" s="60" t="str">
        <f>IFERROR(INDEX($E$3:$AI$3,MATCH($AN233&amp;BD$8&amp;ROW(N10),$E$23:$AI$23,0))&amp;"/"&amp;$AN$3,"")</f>
        <v/>
      </c>
    </row>
    <row r="234" spans="39:56" ht="18.75" thickBot="1">
      <c r="AM234" s="51" t="e">
        <f t="shared" si="159"/>
        <v>#REF!</v>
      </c>
      <c r="AN234" s="28" t="e">
        <f t="shared" si="161"/>
        <v>#REF!</v>
      </c>
      <c r="AO234" s="26"/>
      <c r="AP234" s="52" t="str">
        <f t="shared" si="162"/>
        <v/>
      </c>
      <c r="AQ234" s="53" t="str">
        <f t="shared" si="162"/>
        <v/>
      </c>
      <c r="AR234" s="53" t="str">
        <f t="shared" si="162"/>
        <v/>
      </c>
      <c r="AS234" s="52" t="str">
        <f t="shared" si="163"/>
        <v/>
      </c>
      <c r="AT234" s="53" t="str">
        <f t="shared" si="163"/>
        <v/>
      </c>
      <c r="AU234" s="53" t="str">
        <f t="shared" si="163"/>
        <v/>
      </c>
      <c r="AV234" s="52" t="str">
        <f t="shared" si="164"/>
        <v/>
      </c>
      <c r="AW234" s="53" t="str">
        <f t="shared" si="164"/>
        <v/>
      </c>
      <c r="AX234" s="54" t="str">
        <f t="shared" si="164"/>
        <v/>
      </c>
      <c r="AZ234" s="26" t="str">
        <f>AP234</f>
        <v/>
      </c>
      <c r="BA234" s="29"/>
      <c r="BB234" s="67" t="str">
        <f t="shared" si="160"/>
        <v/>
      </c>
      <c r="BC234" s="67" t="str">
        <f t="shared" si="160"/>
        <v/>
      </c>
      <c r="BD234" s="61" t="str">
        <f>IFERROR(INDEX($E$3:$AI$3,MATCH($AN234&amp;BD$8&amp;ROW(N11),$E$23:$AI$23,0))&amp;"/"&amp;$AN$3,"")</f>
        <v/>
      </c>
    </row>
    <row r="235" spans="39:56" ht="15.75" thickBot="1">
      <c r="BA235" s="22"/>
      <c r="BB235" s="67" t="str">
        <f t="shared" si="160"/>
        <v/>
      </c>
      <c r="BC235" s="67" t="str">
        <f t="shared" si="160"/>
        <v/>
      </c>
    </row>
    <row r="236" spans="39:56" ht="20.25">
      <c r="AM236" s="39"/>
      <c r="AN236" s="40"/>
      <c r="AO236" s="36"/>
      <c r="AP236" s="45" t="s">
        <v>247</v>
      </c>
      <c r="AQ236" s="37" t="s">
        <v>248</v>
      </c>
      <c r="AR236" s="37" t="s">
        <v>249</v>
      </c>
      <c r="AS236" s="45" t="s">
        <v>250</v>
      </c>
      <c r="AT236" s="37" t="s">
        <v>251</v>
      </c>
      <c r="AU236" s="37" t="s">
        <v>252</v>
      </c>
      <c r="AV236" s="45" t="s">
        <v>253</v>
      </c>
      <c r="AW236" s="37" t="s">
        <v>254</v>
      </c>
      <c r="AX236" s="38" t="s">
        <v>255</v>
      </c>
      <c r="AZ236" s="35" t="str">
        <f>$AN$3&amp;" Total"</f>
        <v>7/2021 Total</v>
      </c>
      <c r="BA236" s="47"/>
      <c r="BB236" s="66" t="str">
        <f>IF(COUNTBLANK(AP237:AX237)=9,"","Leave")</f>
        <v/>
      </c>
      <c r="BC236" s="66" t="str">
        <f>IFERROR(VLOOKUP(AM237,#REF!,4,FALSE),"")</f>
        <v/>
      </c>
      <c r="BD236" s="58" t="s">
        <v>256</v>
      </c>
    </row>
    <row r="237" spans="39:56" ht="20.25">
      <c r="AM237" s="25" t="e">
        <f>B24</f>
        <v>#REF!</v>
      </c>
      <c r="AN237" s="34" t="e">
        <f>D24</f>
        <v>#REF!</v>
      </c>
      <c r="AP237" s="46" t="str">
        <f t="shared" ref="AP237:AR242" si="165">IFERROR(INDEX($E$3:$AI$3,MATCH($AN237&amp;AP$8&amp;ROW(A1),$E$24:$AI$24,0))&amp;"/"&amp;$AN$3,"")</f>
        <v/>
      </c>
      <c r="AQ237" s="31" t="str">
        <f t="shared" si="165"/>
        <v/>
      </c>
      <c r="AR237" s="31" t="str">
        <f t="shared" si="165"/>
        <v/>
      </c>
      <c r="AS237" s="46" t="str">
        <f t="shared" ref="AS237:AV242" si="166">IFERROR(INDEX($E$3:$AI$3,MATCH($AN237&amp;AS$8&amp;ROW(D1),$E$24:$AI$24,0))&amp;"/"&amp;$AN$3,"")</f>
        <v/>
      </c>
      <c r="AT237" s="31" t="str">
        <f t="shared" si="166"/>
        <v/>
      </c>
      <c r="AU237" s="31" t="str">
        <f t="shared" si="166"/>
        <v/>
      </c>
      <c r="AV237" s="46" t="str">
        <f t="shared" si="166"/>
        <v/>
      </c>
      <c r="AW237" s="31" t="str">
        <f t="shared" ref="AW237:AX242" si="167">IFERROR(INDEX($E$3:$AI$3,MATCH($AN237&amp;AW$8&amp;ROW(H1),$E$24:$AI$24,0))&amp;"/"&amp;$AN$3,"")</f>
        <v/>
      </c>
      <c r="AX237" s="32" t="str">
        <f t="shared" si="167"/>
        <v/>
      </c>
      <c r="AZ237" s="48" t="s">
        <v>257</v>
      </c>
      <c r="BA237" s="49">
        <f>COUNTA(AP237:AP246)-COUNTBLANK(AP237:AP246)+(COUNTA(AQ237:AQ246)-COUNTBLANK(AQ237:AQ246))*0.5+(COUNTA(AR237:AR246)-COUNTBLANK(AR237:AR246))*0.5</f>
        <v>0</v>
      </c>
      <c r="BB237" s="67" t="str">
        <f>BB236</f>
        <v/>
      </c>
      <c r="BC237" s="67" t="str">
        <f>BC236</f>
        <v/>
      </c>
      <c r="BD237" s="59" t="str">
        <f t="shared" ref="BD237:BD242" si="168">IFERROR(INDEX($E$3:$AI$3,MATCH($AN237&amp;BD$8&amp;ROW(N1),$E$24:$AI$24,0))&amp;"/"&amp;$AN$3,"")</f>
        <v/>
      </c>
    </row>
    <row r="238" spans="39:56" ht="18.75">
      <c r="AM238" s="30" t="e">
        <f t="shared" ref="AM238:AM246" si="169">AM237</f>
        <v>#REF!</v>
      </c>
      <c r="AN238" s="27" t="e">
        <f>AN237</f>
        <v>#REF!</v>
      </c>
      <c r="AP238" s="46" t="str">
        <f t="shared" si="165"/>
        <v/>
      </c>
      <c r="AQ238" s="31" t="str">
        <f t="shared" si="165"/>
        <v/>
      </c>
      <c r="AR238" s="31" t="str">
        <f t="shared" si="165"/>
        <v/>
      </c>
      <c r="AS238" s="46" t="str">
        <f t="shared" si="166"/>
        <v/>
      </c>
      <c r="AT238" s="31" t="str">
        <f t="shared" si="166"/>
        <v/>
      </c>
      <c r="AU238" s="31" t="str">
        <f t="shared" si="166"/>
        <v/>
      </c>
      <c r="AV238" s="46" t="str">
        <f t="shared" si="166"/>
        <v/>
      </c>
      <c r="AW238" s="31" t="str">
        <f t="shared" si="167"/>
        <v/>
      </c>
      <c r="AX238" s="32" t="str">
        <f t="shared" si="167"/>
        <v/>
      </c>
      <c r="AZ238" s="48" t="s">
        <v>258</v>
      </c>
      <c r="BA238" s="49">
        <f>COUNTA(AS237:AS246)-COUNTBLANK(AS237:AS246)+(COUNTA(AT237:AT246)-COUNTBLANK(AT237:AT246))*0.5+(COUNTA(AU237:AU246)-COUNTBLANK(AU237:AU246))*0.5</f>
        <v>0</v>
      </c>
      <c r="BB238" s="67" t="str">
        <f t="shared" ref="BB238:BC247" si="170">BB237</f>
        <v/>
      </c>
      <c r="BC238" s="67" t="str">
        <f t="shared" si="170"/>
        <v/>
      </c>
      <c r="BD238" s="60" t="str">
        <f t="shared" si="168"/>
        <v/>
      </c>
    </row>
    <row r="239" spans="39:56" ht="18.75">
      <c r="AM239" s="30" t="e">
        <f t="shared" si="169"/>
        <v>#REF!</v>
      </c>
      <c r="AN239" s="27" t="e">
        <f t="shared" ref="AN239:AN246" si="171">AN238</f>
        <v>#REF!</v>
      </c>
      <c r="AP239" s="46" t="str">
        <f t="shared" si="165"/>
        <v/>
      </c>
      <c r="AQ239" s="31" t="str">
        <f t="shared" si="165"/>
        <v/>
      </c>
      <c r="AR239" s="31" t="str">
        <f t="shared" si="165"/>
        <v/>
      </c>
      <c r="AS239" s="46" t="str">
        <f t="shared" si="166"/>
        <v/>
      </c>
      <c r="AT239" s="31" t="str">
        <f t="shared" si="166"/>
        <v/>
      </c>
      <c r="AU239" s="31" t="str">
        <f t="shared" si="166"/>
        <v/>
      </c>
      <c r="AV239" s="46" t="str">
        <f t="shared" si="166"/>
        <v/>
      </c>
      <c r="AW239" s="31" t="str">
        <f t="shared" si="167"/>
        <v/>
      </c>
      <c r="AX239" s="32" t="str">
        <f t="shared" si="167"/>
        <v/>
      </c>
      <c r="AZ239" s="48" t="s">
        <v>259</v>
      </c>
      <c r="BA239" s="49">
        <f>COUNTA(AV237:AV246)-COUNTBLANK(AV237:AV246)+(COUNTA(AW237:AW246)-COUNTBLANK(AW237:AW246))*0.5+(COUNTA(AX237:AX246)-COUNTBLANK(AX237:AX246))*0.5</f>
        <v>0</v>
      </c>
      <c r="BB239" s="67" t="str">
        <f t="shared" si="170"/>
        <v/>
      </c>
      <c r="BC239" s="67" t="str">
        <f t="shared" si="170"/>
        <v/>
      </c>
      <c r="BD239" s="60" t="str">
        <f t="shared" si="168"/>
        <v/>
      </c>
    </row>
    <row r="240" spans="39:56" ht="20.25">
      <c r="AM240" s="30" t="e">
        <f t="shared" si="169"/>
        <v>#REF!</v>
      </c>
      <c r="AN240" s="27" t="e">
        <f t="shared" si="171"/>
        <v>#REF!</v>
      </c>
      <c r="AP240" s="46" t="str">
        <f t="shared" si="165"/>
        <v/>
      </c>
      <c r="AQ240" s="31" t="str">
        <f t="shared" si="165"/>
        <v/>
      </c>
      <c r="AR240" s="31" t="str">
        <f t="shared" si="165"/>
        <v/>
      </c>
      <c r="AS240" s="46" t="str">
        <f t="shared" si="166"/>
        <v/>
      </c>
      <c r="AT240" s="31" t="str">
        <f t="shared" si="166"/>
        <v/>
      </c>
      <c r="AU240" s="31" t="str">
        <f t="shared" si="166"/>
        <v/>
      </c>
      <c r="AV240" s="46" t="str">
        <f t="shared" si="166"/>
        <v/>
      </c>
      <c r="AW240" s="31" t="str">
        <f t="shared" si="167"/>
        <v/>
      </c>
      <c r="AX240" s="32" t="str">
        <f t="shared" si="167"/>
        <v/>
      </c>
      <c r="AZ240" s="33"/>
      <c r="BA240" s="23"/>
      <c r="BB240" s="67" t="str">
        <f t="shared" si="170"/>
        <v/>
      </c>
      <c r="BC240" s="67" t="str">
        <f t="shared" si="170"/>
        <v/>
      </c>
      <c r="BD240" s="60" t="str">
        <f t="shared" si="168"/>
        <v/>
      </c>
    </row>
    <row r="241" spans="39:56" ht="18">
      <c r="AM241" s="30" t="e">
        <f t="shared" si="169"/>
        <v>#REF!</v>
      </c>
      <c r="AN241" s="27" t="e">
        <f t="shared" si="171"/>
        <v>#REF!</v>
      </c>
      <c r="AP241" s="46" t="str">
        <f t="shared" si="165"/>
        <v/>
      </c>
      <c r="AQ241" s="31" t="str">
        <f t="shared" si="165"/>
        <v/>
      </c>
      <c r="AR241" s="31" t="str">
        <f t="shared" si="165"/>
        <v/>
      </c>
      <c r="AS241" s="46" t="str">
        <f t="shared" si="166"/>
        <v/>
      </c>
      <c r="AT241" s="31" t="str">
        <f t="shared" si="166"/>
        <v/>
      </c>
      <c r="AU241" s="31" t="str">
        <f t="shared" si="166"/>
        <v/>
      </c>
      <c r="AV241" s="46" t="str">
        <f t="shared" si="166"/>
        <v/>
      </c>
      <c r="AW241" s="31" t="str">
        <f t="shared" si="167"/>
        <v/>
      </c>
      <c r="AX241" s="32" t="str">
        <f t="shared" si="167"/>
        <v/>
      </c>
      <c r="AZ241" s="33"/>
      <c r="BB241" s="67" t="str">
        <f t="shared" si="170"/>
        <v/>
      </c>
      <c r="BC241" s="67" t="str">
        <f t="shared" si="170"/>
        <v/>
      </c>
      <c r="BD241" s="60" t="str">
        <f t="shared" si="168"/>
        <v/>
      </c>
    </row>
    <row r="242" spans="39:56" ht="20.25">
      <c r="AM242" s="30" t="e">
        <f t="shared" si="169"/>
        <v>#REF!</v>
      </c>
      <c r="AN242" s="27" t="e">
        <f t="shared" si="171"/>
        <v>#REF!</v>
      </c>
      <c r="AP242" s="46" t="str">
        <f t="shared" si="165"/>
        <v/>
      </c>
      <c r="AQ242" s="31" t="str">
        <f t="shared" si="165"/>
        <v/>
      </c>
      <c r="AR242" s="31" t="str">
        <f t="shared" si="165"/>
        <v/>
      </c>
      <c r="AS242" s="46" t="str">
        <f t="shared" si="166"/>
        <v/>
      </c>
      <c r="AT242" s="31" t="str">
        <f t="shared" si="166"/>
        <v/>
      </c>
      <c r="AU242" s="31" t="str">
        <f t="shared" si="166"/>
        <v/>
      </c>
      <c r="AV242" s="46" t="str">
        <f t="shared" si="166"/>
        <v/>
      </c>
      <c r="AW242" s="31" t="str">
        <f t="shared" si="167"/>
        <v/>
      </c>
      <c r="AX242" s="32" t="str">
        <f t="shared" si="167"/>
        <v/>
      </c>
      <c r="AZ242" s="23" t="s">
        <v>260</v>
      </c>
      <c r="BB242" s="67" t="str">
        <f t="shared" si="170"/>
        <v/>
      </c>
      <c r="BC242" s="67" t="str">
        <f t="shared" si="170"/>
        <v/>
      </c>
      <c r="BD242" s="60" t="str">
        <f t="shared" si="168"/>
        <v/>
      </c>
    </row>
    <row r="243" spans="39:56" ht="18">
      <c r="AM243" s="30" t="e">
        <f t="shared" si="169"/>
        <v>#REF!</v>
      </c>
      <c r="AN243" s="27" t="e">
        <f t="shared" si="171"/>
        <v>#REF!</v>
      </c>
      <c r="AP243" s="46" t="str">
        <f t="shared" ref="AP243:AR246" si="172">IFERROR(INDEX($E$3:$AI$3,MATCH($AN243&amp;AP$8&amp;ROW(A8),$E$24:$AI$24,0))&amp;"/"&amp;$AN$3,"")</f>
        <v/>
      </c>
      <c r="AQ243" s="31" t="str">
        <f t="shared" si="172"/>
        <v/>
      </c>
      <c r="AR243" s="31" t="str">
        <f t="shared" si="172"/>
        <v/>
      </c>
      <c r="AS243" s="46" t="str">
        <f t="shared" ref="AS243:AV246" si="173">IFERROR(INDEX($E$3:$AI$3,MATCH($AN243&amp;AS$8&amp;ROW(D8),$E$24:$AI$24,0))&amp;"/"&amp;$AN$3,"")</f>
        <v/>
      </c>
      <c r="AT243" s="31" t="str">
        <f t="shared" si="173"/>
        <v/>
      </c>
      <c r="AU243" s="31" t="str">
        <f t="shared" si="173"/>
        <v/>
      </c>
      <c r="AV243" s="46" t="str">
        <f t="shared" si="173"/>
        <v/>
      </c>
      <c r="AW243" s="31" t="str">
        <f t="shared" ref="AW243:AX246" si="174">IFERROR(INDEX($E$3:$AI$3,MATCH($AN243&amp;AW$8&amp;ROW(H8),$E$24:$AI$24,0))&amp;"/"&amp;$AN$3,"")</f>
        <v/>
      </c>
      <c r="AX243" s="32" t="str">
        <f t="shared" si="174"/>
        <v/>
      </c>
      <c r="AZ243" s="33"/>
      <c r="BB243" s="67" t="str">
        <f t="shared" si="170"/>
        <v/>
      </c>
      <c r="BC243" s="67" t="str">
        <f t="shared" si="170"/>
        <v/>
      </c>
      <c r="BD243" s="60" t="str">
        <f>IFERROR(INDEX($E$3:$AI$3,MATCH($AN243&amp;BD$8&amp;ROW(N8),$E$24:$AI$24,0))&amp;"/"&amp;$AN$3,"")</f>
        <v/>
      </c>
    </row>
    <row r="244" spans="39:56" ht="18">
      <c r="AM244" s="30" t="e">
        <f t="shared" si="169"/>
        <v>#REF!</v>
      </c>
      <c r="AN244" s="27" t="e">
        <f t="shared" si="171"/>
        <v>#REF!</v>
      </c>
      <c r="AP244" s="46" t="str">
        <f t="shared" si="172"/>
        <v/>
      </c>
      <c r="AQ244" s="31" t="str">
        <f t="shared" si="172"/>
        <v/>
      </c>
      <c r="AR244" s="31" t="str">
        <f t="shared" si="172"/>
        <v/>
      </c>
      <c r="AS244" s="46" t="str">
        <f t="shared" si="173"/>
        <v/>
      </c>
      <c r="AT244" s="31" t="str">
        <f t="shared" si="173"/>
        <v/>
      </c>
      <c r="AU244" s="31" t="str">
        <f t="shared" si="173"/>
        <v/>
      </c>
      <c r="AV244" s="46" t="str">
        <f t="shared" si="173"/>
        <v/>
      </c>
      <c r="AW244" s="31" t="str">
        <f t="shared" si="174"/>
        <v/>
      </c>
      <c r="AX244" s="32" t="str">
        <f t="shared" si="174"/>
        <v/>
      </c>
      <c r="BB244" s="67" t="str">
        <f t="shared" si="170"/>
        <v/>
      </c>
      <c r="BC244" s="67" t="str">
        <f t="shared" si="170"/>
        <v/>
      </c>
      <c r="BD244" s="60" t="str">
        <f>IFERROR(INDEX($E$3:$AI$3,MATCH($AN244&amp;BD$8&amp;ROW(N9),$E$24:$AI$24,0))&amp;"/"&amp;$AN$3,"")</f>
        <v/>
      </c>
    </row>
    <row r="245" spans="39:56" ht="18">
      <c r="AM245" s="30" t="e">
        <f t="shared" si="169"/>
        <v>#REF!</v>
      </c>
      <c r="AN245" s="27" t="e">
        <f t="shared" si="171"/>
        <v>#REF!</v>
      </c>
      <c r="AP245" s="46" t="str">
        <f t="shared" si="172"/>
        <v/>
      </c>
      <c r="AQ245" s="31" t="str">
        <f t="shared" si="172"/>
        <v/>
      </c>
      <c r="AR245" s="31" t="str">
        <f t="shared" si="172"/>
        <v/>
      </c>
      <c r="AS245" s="46" t="str">
        <f t="shared" si="173"/>
        <v/>
      </c>
      <c r="AT245" s="31" t="str">
        <f t="shared" si="173"/>
        <v/>
      </c>
      <c r="AU245" s="31" t="str">
        <f t="shared" si="173"/>
        <v/>
      </c>
      <c r="AV245" s="46" t="str">
        <f t="shared" si="173"/>
        <v/>
      </c>
      <c r="AW245" s="31" t="str">
        <f t="shared" si="174"/>
        <v/>
      </c>
      <c r="AX245" s="32" t="str">
        <f t="shared" si="174"/>
        <v/>
      </c>
      <c r="BB245" s="67" t="str">
        <f t="shared" si="170"/>
        <v/>
      </c>
      <c r="BC245" s="67" t="str">
        <f t="shared" si="170"/>
        <v/>
      </c>
      <c r="BD245" s="60" t="str">
        <f>IFERROR(INDEX($E$3:$AI$3,MATCH($AN245&amp;BD$8&amp;ROW(N10),$E$24:$AI$24,0))&amp;"/"&amp;$AN$3,"")</f>
        <v/>
      </c>
    </row>
    <row r="246" spans="39:56" ht="18.75" thickBot="1">
      <c r="AM246" s="51" t="e">
        <f t="shared" si="169"/>
        <v>#REF!</v>
      </c>
      <c r="AN246" s="28" t="e">
        <f t="shared" si="171"/>
        <v>#REF!</v>
      </c>
      <c r="AO246" s="26"/>
      <c r="AP246" s="52" t="str">
        <f t="shared" si="172"/>
        <v/>
      </c>
      <c r="AQ246" s="53" t="str">
        <f t="shared" si="172"/>
        <v/>
      </c>
      <c r="AR246" s="53" t="str">
        <f t="shared" si="172"/>
        <v/>
      </c>
      <c r="AS246" s="52" t="str">
        <f t="shared" si="173"/>
        <v/>
      </c>
      <c r="AT246" s="53" t="str">
        <f t="shared" si="173"/>
        <v/>
      </c>
      <c r="AU246" s="53" t="str">
        <f t="shared" si="173"/>
        <v/>
      </c>
      <c r="AV246" s="52" t="str">
        <f t="shared" si="173"/>
        <v/>
      </c>
      <c r="AW246" s="53" t="str">
        <f t="shared" si="174"/>
        <v/>
      </c>
      <c r="AX246" s="54" t="str">
        <f t="shared" si="174"/>
        <v/>
      </c>
      <c r="AZ246" s="26" t="str">
        <f>AP246</f>
        <v/>
      </c>
      <c r="BA246" s="29"/>
      <c r="BB246" s="67" t="str">
        <f t="shared" si="170"/>
        <v/>
      </c>
      <c r="BC246" s="67" t="str">
        <f t="shared" si="170"/>
        <v/>
      </c>
      <c r="BD246" s="61" t="str">
        <f>IFERROR(INDEX($E$3:$AI$3,MATCH($AN246&amp;BD$8&amp;ROW(N11),$E$24:$AI$24,0))&amp;"/"&amp;$AN$3,"")</f>
        <v/>
      </c>
    </row>
    <row r="247" spans="39:56" ht="15.75" thickBot="1">
      <c r="BA247" s="22"/>
      <c r="BB247" s="67" t="str">
        <f t="shared" si="170"/>
        <v/>
      </c>
      <c r="BC247" s="67" t="str">
        <f t="shared" si="170"/>
        <v/>
      </c>
    </row>
    <row r="248" spans="39:56" ht="20.25">
      <c r="AM248" s="39"/>
      <c r="AN248" s="40"/>
      <c r="AO248" s="36"/>
      <c r="AP248" s="45" t="s">
        <v>247</v>
      </c>
      <c r="AQ248" s="37" t="s">
        <v>248</v>
      </c>
      <c r="AR248" s="37" t="s">
        <v>249</v>
      </c>
      <c r="AS248" s="45" t="s">
        <v>250</v>
      </c>
      <c r="AT248" s="37" t="s">
        <v>251</v>
      </c>
      <c r="AU248" s="37" t="s">
        <v>252</v>
      </c>
      <c r="AV248" s="45" t="s">
        <v>253</v>
      </c>
      <c r="AW248" s="37" t="s">
        <v>254</v>
      </c>
      <c r="AX248" s="38" t="s">
        <v>255</v>
      </c>
      <c r="AZ248" s="35" t="str">
        <f>$AN$3&amp;" Total"</f>
        <v>7/2021 Total</v>
      </c>
      <c r="BA248" s="47"/>
      <c r="BB248" s="66" t="str">
        <f>IF(COUNTBLANK(AP249:AX249)=9,"","Leave")</f>
        <v/>
      </c>
      <c r="BC248" s="66" t="str">
        <f>IFERROR(VLOOKUP(AM249,#REF!,4,FALSE),"")</f>
        <v/>
      </c>
      <c r="BD248" s="58" t="s">
        <v>256</v>
      </c>
    </row>
    <row r="249" spans="39:56" ht="20.25">
      <c r="AM249" s="25" t="e">
        <f>B25</f>
        <v>#REF!</v>
      </c>
      <c r="AN249" s="34" t="e">
        <f>D25</f>
        <v>#REF!</v>
      </c>
      <c r="AP249" s="46" t="str">
        <f t="shared" ref="AP249:AR254" si="175">IFERROR(INDEX($E$3:$AI$3,MATCH($AN249&amp;AP$8&amp;ROW(A1),$E$25:$AI$25,0))&amp;"/"&amp;$AN$3,"")</f>
        <v/>
      </c>
      <c r="AQ249" s="31" t="str">
        <f t="shared" si="175"/>
        <v/>
      </c>
      <c r="AR249" s="31" t="str">
        <f t="shared" si="175"/>
        <v/>
      </c>
      <c r="AS249" s="46" t="str">
        <f t="shared" ref="AS249:AU254" si="176">IFERROR(INDEX($E$3:$AI$3,MATCH($AN249&amp;AS$8&amp;ROW(D1),$E$25:$AI$25,0))&amp;"/"&amp;$AN$3,"")</f>
        <v/>
      </c>
      <c r="AT249" s="31" t="str">
        <f t="shared" si="176"/>
        <v/>
      </c>
      <c r="AU249" s="31" t="str">
        <f t="shared" si="176"/>
        <v/>
      </c>
      <c r="AV249" s="46" t="str">
        <f t="shared" ref="AV249:AX254" si="177">IFERROR(INDEX($E$3:$AI$3,MATCH($AN249&amp;AV$8&amp;ROW(G1),$E$25:$AI$25,0))&amp;"/"&amp;$AN$3,"")</f>
        <v/>
      </c>
      <c r="AW249" s="31" t="str">
        <f t="shared" si="177"/>
        <v/>
      </c>
      <c r="AX249" s="32" t="str">
        <f t="shared" si="177"/>
        <v/>
      </c>
      <c r="AZ249" s="48" t="s">
        <v>257</v>
      </c>
      <c r="BA249" s="49">
        <f>COUNTA(AP249:AP258)-COUNTBLANK(AP249:AP258)+(COUNTA(AQ249:AQ258)-COUNTBLANK(AQ249:AQ258))*0.5+(COUNTA(AR249:AR258)-COUNTBLANK(AR249:AR258))*0.5</f>
        <v>0</v>
      </c>
      <c r="BB249" s="67" t="str">
        <f>BB248</f>
        <v/>
      </c>
      <c r="BC249" s="67" t="str">
        <f>BC248</f>
        <v/>
      </c>
      <c r="BD249" s="59" t="str">
        <f t="shared" ref="BD249:BD254" si="178">IFERROR(INDEX($E$3:$AI$3,MATCH($AN249&amp;BD$8&amp;ROW(N1),$E$25:$AI$25,0))&amp;"/"&amp;$AN$3,"")</f>
        <v/>
      </c>
    </row>
    <row r="250" spans="39:56" ht="18.75">
      <c r="AM250" s="30" t="e">
        <f t="shared" ref="AM250:AM258" si="179">AM249</f>
        <v>#REF!</v>
      </c>
      <c r="AN250" s="27" t="e">
        <f>AN249</f>
        <v>#REF!</v>
      </c>
      <c r="AP250" s="46" t="str">
        <f t="shared" si="175"/>
        <v/>
      </c>
      <c r="AQ250" s="31" t="str">
        <f t="shared" si="175"/>
        <v/>
      </c>
      <c r="AR250" s="31" t="str">
        <f t="shared" si="175"/>
        <v/>
      </c>
      <c r="AS250" s="46" t="str">
        <f t="shared" si="176"/>
        <v/>
      </c>
      <c r="AT250" s="31" t="str">
        <f t="shared" si="176"/>
        <v/>
      </c>
      <c r="AU250" s="31" t="str">
        <f t="shared" si="176"/>
        <v/>
      </c>
      <c r="AV250" s="46" t="str">
        <f t="shared" si="177"/>
        <v/>
      </c>
      <c r="AW250" s="31" t="str">
        <f t="shared" si="177"/>
        <v/>
      </c>
      <c r="AX250" s="32" t="str">
        <f t="shared" si="177"/>
        <v/>
      </c>
      <c r="AZ250" s="48" t="s">
        <v>258</v>
      </c>
      <c r="BA250" s="49">
        <f>COUNTA(AS249:AS258)-COUNTBLANK(AS249:AS258)+(COUNTA(AT249:AT258)-COUNTBLANK(AT249:AT258))*0.5+(COUNTA(AU249:AU258)-COUNTBLANK(AU249:AU258))*0.5</f>
        <v>0</v>
      </c>
      <c r="BB250" s="67" t="str">
        <f t="shared" ref="BB250:BC259" si="180">BB249</f>
        <v/>
      </c>
      <c r="BC250" s="67" t="str">
        <f t="shared" si="180"/>
        <v/>
      </c>
      <c r="BD250" s="60" t="str">
        <f t="shared" si="178"/>
        <v/>
      </c>
    </row>
    <row r="251" spans="39:56" ht="18.75">
      <c r="AM251" s="30" t="e">
        <f t="shared" si="179"/>
        <v>#REF!</v>
      </c>
      <c r="AN251" s="27" t="e">
        <f t="shared" ref="AN251:AN258" si="181">AN250</f>
        <v>#REF!</v>
      </c>
      <c r="AP251" s="46" t="str">
        <f t="shared" si="175"/>
        <v/>
      </c>
      <c r="AQ251" s="31" t="str">
        <f t="shared" si="175"/>
        <v/>
      </c>
      <c r="AR251" s="31" t="str">
        <f t="shared" si="175"/>
        <v/>
      </c>
      <c r="AS251" s="46" t="str">
        <f t="shared" si="176"/>
        <v/>
      </c>
      <c r="AT251" s="31" t="str">
        <f t="shared" si="176"/>
        <v/>
      </c>
      <c r="AU251" s="31" t="str">
        <f t="shared" si="176"/>
        <v/>
      </c>
      <c r="AV251" s="46" t="str">
        <f t="shared" si="177"/>
        <v/>
      </c>
      <c r="AW251" s="31" t="str">
        <f t="shared" si="177"/>
        <v/>
      </c>
      <c r="AX251" s="32" t="str">
        <f t="shared" si="177"/>
        <v/>
      </c>
      <c r="AZ251" s="48" t="s">
        <v>259</v>
      </c>
      <c r="BA251" s="49">
        <f>COUNTA(AV249:AV258)-COUNTBLANK(AV249:AV258)+(COUNTA(AW249:AW258)-COUNTBLANK(AW249:AW258))*0.5+(COUNTA(AX249:AX258)-COUNTBLANK(AX249:AX258))*0.5</f>
        <v>0</v>
      </c>
      <c r="BB251" s="67" t="str">
        <f t="shared" si="180"/>
        <v/>
      </c>
      <c r="BC251" s="67" t="str">
        <f t="shared" si="180"/>
        <v/>
      </c>
      <c r="BD251" s="60" t="str">
        <f t="shared" si="178"/>
        <v/>
      </c>
    </row>
    <row r="252" spans="39:56" ht="20.25">
      <c r="AM252" s="30" t="e">
        <f t="shared" si="179"/>
        <v>#REF!</v>
      </c>
      <c r="AN252" s="27" t="e">
        <f t="shared" si="181"/>
        <v>#REF!</v>
      </c>
      <c r="AP252" s="46" t="str">
        <f t="shared" si="175"/>
        <v/>
      </c>
      <c r="AQ252" s="31" t="str">
        <f t="shared" si="175"/>
        <v/>
      </c>
      <c r="AR252" s="31" t="str">
        <f t="shared" si="175"/>
        <v/>
      </c>
      <c r="AS252" s="46" t="str">
        <f t="shared" si="176"/>
        <v/>
      </c>
      <c r="AT252" s="31" t="str">
        <f t="shared" si="176"/>
        <v/>
      </c>
      <c r="AU252" s="31" t="str">
        <f t="shared" si="176"/>
        <v/>
      </c>
      <c r="AV252" s="46" t="str">
        <f t="shared" si="177"/>
        <v/>
      </c>
      <c r="AW252" s="31" t="str">
        <f t="shared" si="177"/>
        <v/>
      </c>
      <c r="AX252" s="32" t="str">
        <f t="shared" si="177"/>
        <v/>
      </c>
      <c r="AZ252" s="33"/>
      <c r="BA252" s="23"/>
      <c r="BB252" s="67" t="str">
        <f t="shared" si="180"/>
        <v/>
      </c>
      <c r="BC252" s="67" t="str">
        <f t="shared" si="180"/>
        <v/>
      </c>
      <c r="BD252" s="60" t="str">
        <f t="shared" si="178"/>
        <v/>
      </c>
    </row>
    <row r="253" spans="39:56" ht="18">
      <c r="AM253" s="30" t="e">
        <f t="shared" si="179"/>
        <v>#REF!</v>
      </c>
      <c r="AN253" s="27" t="e">
        <f t="shared" si="181"/>
        <v>#REF!</v>
      </c>
      <c r="AP253" s="46" t="str">
        <f t="shared" si="175"/>
        <v/>
      </c>
      <c r="AQ253" s="31" t="str">
        <f t="shared" si="175"/>
        <v/>
      </c>
      <c r="AR253" s="31" t="str">
        <f t="shared" si="175"/>
        <v/>
      </c>
      <c r="AS253" s="46" t="str">
        <f t="shared" si="176"/>
        <v/>
      </c>
      <c r="AT253" s="31" t="str">
        <f t="shared" si="176"/>
        <v/>
      </c>
      <c r="AU253" s="31" t="str">
        <f t="shared" si="176"/>
        <v/>
      </c>
      <c r="AV253" s="46" t="str">
        <f t="shared" si="177"/>
        <v/>
      </c>
      <c r="AW253" s="31" t="str">
        <f t="shared" si="177"/>
        <v/>
      </c>
      <c r="AX253" s="32" t="str">
        <f t="shared" si="177"/>
        <v/>
      </c>
      <c r="AZ253" s="33"/>
      <c r="BB253" s="67" t="str">
        <f t="shared" si="180"/>
        <v/>
      </c>
      <c r="BC253" s="67" t="str">
        <f t="shared" si="180"/>
        <v/>
      </c>
      <c r="BD253" s="60" t="str">
        <f t="shared" si="178"/>
        <v/>
      </c>
    </row>
    <row r="254" spans="39:56" ht="20.25">
      <c r="AM254" s="30" t="e">
        <f t="shared" si="179"/>
        <v>#REF!</v>
      </c>
      <c r="AN254" s="27" t="e">
        <f t="shared" si="181"/>
        <v>#REF!</v>
      </c>
      <c r="AP254" s="46" t="str">
        <f t="shared" si="175"/>
        <v/>
      </c>
      <c r="AQ254" s="31" t="str">
        <f t="shared" si="175"/>
        <v/>
      </c>
      <c r="AR254" s="31" t="str">
        <f t="shared" si="175"/>
        <v/>
      </c>
      <c r="AS254" s="46" t="str">
        <f t="shared" si="176"/>
        <v/>
      </c>
      <c r="AT254" s="31" t="str">
        <f t="shared" si="176"/>
        <v/>
      </c>
      <c r="AU254" s="31" t="str">
        <f t="shared" si="176"/>
        <v/>
      </c>
      <c r="AV254" s="46" t="str">
        <f t="shared" si="177"/>
        <v/>
      </c>
      <c r="AW254" s="31" t="str">
        <f t="shared" si="177"/>
        <v/>
      </c>
      <c r="AX254" s="32" t="str">
        <f t="shared" si="177"/>
        <v/>
      </c>
      <c r="AZ254" s="23" t="s">
        <v>260</v>
      </c>
      <c r="BB254" s="67" t="str">
        <f t="shared" si="180"/>
        <v/>
      </c>
      <c r="BC254" s="67" t="str">
        <f t="shared" si="180"/>
        <v/>
      </c>
      <c r="BD254" s="60" t="str">
        <f t="shared" si="178"/>
        <v/>
      </c>
    </row>
    <row r="255" spans="39:56" ht="18">
      <c r="AM255" s="30" t="e">
        <f t="shared" si="179"/>
        <v>#REF!</v>
      </c>
      <c r="AN255" s="27" t="e">
        <f t="shared" si="181"/>
        <v>#REF!</v>
      </c>
      <c r="AP255" s="46" t="str">
        <f t="shared" ref="AP255:AR258" si="182">IFERROR(INDEX($E$3:$AI$3,MATCH($AN255&amp;AP$8&amp;ROW(A8),$E$25:$AI$25,0))&amp;"/"&amp;$AN$3,"")</f>
        <v/>
      </c>
      <c r="AQ255" s="31" t="str">
        <f t="shared" si="182"/>
        <v/>
      </c>
      <c r="AR255" s="31" t="str">
        <f t="shared" si="182"/>
        <v/>
      </c>
      <c r="AS255" s="46" t="str">
        <f t="shared" ref="AS255:AU258" si="183">IFERROR(INDEX($E$3:$AI$3,MATCH($AN255&amp;AS$8&amp;ROW(D8),$E$25:$AI$25,0))&amp;"/"&amp;$AN$3,"")</f>
        <v/>
      </c>
      <c r="AT255" s="31" t="str">
        <f t="shared" si="183"/>
        <v/>
      </c>
      <c r="AU255" s="31" t="str">
        <f t="shared" si="183"/>
        <v/>
      </c>
      <c r="AV255" s="46" t="str">
        <f t="shared" ref="AV255:AX258" si="184">IFERROR(INDEX($E$3:$AI$3,MATCH($AN255&amp;AV$8&amp;ROW(G8),$E$25:$AI$25,0))&amp;"/"&amp;$AN$3,"")</f>
        <v/>
      </c>
      <c r="AW255" s="31" t="str">
        <f t="shared" si="184"/>
        <v/>
      </c>
      <c r="AX255" s="32" t="str">
        <f t="shared" si="184"/>
        <v/>
      </c>
      <c r="AZ255" s="33"/>
      <c r="BB255" s="67" t="str">
        <f t="shared" si="180"/>
        <v/>
      </c>
      <c r="BC255" s="67" t="str">
        <f t="shared" si="180"/>
        <v/>
      </c>
      <c r="BD255" s="60" t="str">
        <f>IFERROR(INDEX($E$3:$AI$3,MATCH($AN255&amp;BD$8&amp;ROW(N8),$E$25:$AI$25,0))&amp;"/"&amp;$AN$3,"")</f>
        <v/>
      </c>
    </row>
    <row r="256" spans="39:56" ht="18">
      <c r="AM256" s="30" t="e">
        <f t="shared" si="179"/>
        <v>#REF!</v>
      </c>
      <c r="AN256" s="27" t="e">
        <f t="shared" si="181"/>
        <v>#REF!</v>
      </c>
      <c r="AP256" s="46" t="str">
        <f t="shared" si="182"/>
        <v/>
      </c>
      <c r="AQ256" s="31" t="str">
        <f t="shared" si="182"/>
        <v/>
      </c>
      <c r="AR256" s="31" t="str">
        <f t="shared" si="182"/>
        <v/>
      </c>
      <c r="AS256" s="46" t="str">
        <f t="shared" si="183"/>
        <v/>
      </c>
      <c r="AT256" s="31" t="str">
        <f t="shared" si="183"/>
        <v/>
      </c>
      <c r="AU256" s="31" t="str">
        <f t="shared" si="183"/>
        <v/>
      </c>
      <c r="AV256" s="46" t="str">
        <f t="shared" si="184"/>
        <v/>
      </c>
      <c r="AW256" s="31" t="str">
        <f t="shared" si="184"/>
        <v/>
      </c>
      <c r="AX256" s="32" t="str">
        <f t="shared" si="184"/>
        <v/>
      </c>
      <c r="BB256" s="67" t="str">
        <f t="shared" si="180"/>
        <v/>
      </c>
      <c r="BC256" s="67" t="str">
        <f t="shared" si="180"/>
        <v/>
      </c>
      <c r="BD256" s="60" t="str">
        <f>IFERROR(INDEX($E$3:$AI$3,MATCH($AN256&amp;BD$8&amp;ROW(N9),$E$25:$AI$25,0))&amp;"/"&amp;$AN$3,"")</f>
        <v/>
      </c>
    </row>
    <row r="257" spans="39:56" ht="18">
      <c r="AM257" s="30" t="e">
        <f t="shared" si="179"/>
        <v>#REF!</v>
      </c>
      <c r="AN257" s="27" t="e">
        <f t="shared" si="181"/>
        <v>#REF!</v>
      </c>
      <c r="AP257" s="46" t="str">
        <f t="shared" si="182"/>
        <v/>
      </c>
      <c r="AQ257" s="31" t="str">
        <f t="shared" si="182"/>
        <v/>
      </c>
      <c r="AR257" s="31" t="str">
        <f t="shared" si="182"/>
        <v/>
      </c>
      <c r="AS257" s="46" t="str">
        <f t="shared" si="183"/>
        <v/>
      </c>
      <c r="AT257" s="31" t="str">
        <f t="shared" si="183"/>
        <v/>
      </c>
      <c r="AU257" s="31" t="str">
        <f t="shared" si="183"/>
        <v/>
      </c>
      <c r="AV257" s="46" t="str">
        <f t="shared" si="184"/>
        <v/>
      </c>
      <c r="AW257" s="31" t="str">
        <f t="shared" si="184"/>
        <v/>
      </c>
      <c r="AX257" s="32" t="str">
        <f t="shared" si="184"/>
        <v/>
      </c>
      <c r="BB257" s="67" t="str">
        <f t="shared" si="180"/>
        <v/>
      </c>
      <c r="BC257" s="67" t="str">
        <f t="shared" si="180"/>
        <v/>
      </c>
      <c r="BD257" s="60" t="str">
        <f>IFERROR(INDEX($E$3:$AI$3,MATCH($AN257&amp;BD$8&amp;ROW(N10),$E$25:$AI$25,0))&amp;"/"&amp;$AN$3,"")</f>
        <v/>
      </c>
    </row>
    <row r="258" spans="39:56" ht="18.75" thickBot="1">
      <c r="AM258" s="51" t="e">
        <f t="shared" si="179"/>
        <v>#REF!</v>
      </c>
      <c r="AN258" s="28" t="e">
        <f t="shared" si="181"/>
        <v>#REF!</v>
      </c>
      <c r="AO258" s="26"/>
      <c r="AP258" s="52" t="str">
        <f t="shared" si="182"/>
        <v/>
      </c>
      <c r="AQ258" s="53" t="str">
        <f t="shared" si="182"/>
        <v/>
      </c>
      <c r="AR258" s="53" t="str">
        <f t="shared" si="182"/>
        <v/>
      </c>
      <c r="AS258" s="52" t="str">
        <f t="shared" si="183"/>
        <v/>
      </c>
      <c r="AT258" s="53" t="str">
        <f t="shared" si="183"/>
        <v/>
      </c>
      <c r="AU258" s="53" t="str">
        <f t="shared" si="183"/>
        <v/>
      </c>
      <c r="AV258" s="52" t="str">
        <f t="shared" si="184"/>
        <v/>
      </c>
      <c r="AW258" s="53" t="str">
        <f t="shared" si="184"/>
        <v/>
      </c>
      <c r="AX258" s="54" t="str">
        <f t="shared" si="184"/>
        <v/>
      </c>
      <c r="AZ258" s="26" t="str">
        <f>AP258</f>
        <v/>
      </c>
      <c r="BA258" s="29"/>
      <c r="BB258" s="67" t="str">
        <f t="shared" si="180"/>
        <v/>
      </c>
      <c r="BC258" s="67" t="str">
        <f t="shared" si="180"/>
        <v/>
      </c>
      <c r="BD258" s="61" t="str">
        <f>IFERROR(INDEX($E$3:$AI$3,MATCH($AN258&amp;BD$8&amp;ROW(N11),$E$25:$AI$25,0))&amp;"/"&amp;$AN$3,"")</f>
        <v/>
      </c>
    </row>
    <row r="259" spans="39:56" ht="15.75" thickBot="1">
      <c r="BA259" s="22"/>
      <c r="BB259" s="67" t="str">
        <f t="shared" si="180"/>
        <v/>
      </c>
      <c r="BC259" s="67" t="str">
        <f t="shared" si="180"/>
        <v/>
      </c>
    </row>
    <row r="260" spans="39:56" ht="20.25">
      <c r="AM260" s="39"/>
      <c r="AN260" s="40"/>
      <c r="AO260" s="36"/>
      <c r="AP260" s="45" t="s">
        <v>247</v>
      </c>
      <c r="AQ260" s="37" t="s">
        <v>248</v>
      </c>
      <c r="AR260" s="37" t="s">
        <v>249</v>
      </c>
      <c r="AS260" s="45" t="s">
        <v>250</v>
      </c>
      <c r="AT260" s="37" t="s">
        <v>251</v>
      </c>
      <c r="AU260" s="37" t="s">
        <v>252</v>
      </c>
      <c r="AV260" s="45" t="s">
        <v>253</v>
      </c>
      <c r="AW260" s="37" t="s">
        <v>254</v>
      </c>
      <c r="AX260" s="38" t="s">
        <v>255</v>
      </c>
      <c r="AZ260" s="35" t="str">
        <f>$AN$3&amp;" Total"</f>
        <v>7/2021 Total</v>
      </c>
      <c r="BA260" s="47"/>
      <c r="BB260" s="66" t="str">
        <f>IF(COUNTBLANK(AP261:AX261)=9,"","Leave")</f>
        <v/>
      </c>
      <c r="BC260" s="66" t="str">
        <f>IFERROR(VLOOKUP(AM261,#REF!,4,FALSE),"")</f>
        <v/>
      </c>
      <c r="BD260" s="58" t="s">
        <v>256</v>
      </c>
    </row>
    <row r="261" spans="39:56" ht="20.25">
      <c r="AM261" s="25" t="e">
        <f>B26</f>
        <v>#REF!</v>
      </c>
      <c r="AN261" s="34" t="e">
        <f>D26</f>
        <v>#REF!</v>
      </c>
      <c r="AP261" s="46" t="str">
        <f t="shared" ref="AP261:AR266" si="185">IFERROR(INDEX($E$3:$AI$3,MATCH($AN261&amp;AP$8&amp;ROW(A1),$E$26:$AI$26,0))&amp;"/"&amp;$AN$3,"")</f>
        <v/>
      </c>
      <c r="AQ261" s="31" t="str">
        <f t="shared" si="185"/>
        <v/>
      </c>
      <c r="AR261" s="31" t="str">
        <f t="shared" si="185"/>
        <v/>
      </c>
      <c r="AS261" s="46" t="str">
        <f t="shared" ref="AS261:AU266" si="186">IFERROR(INDEX($E$3:$AI$3,MATCH($AN261&amp;AS$8&amp;ROW(D1),$E$26:$AI$26,0))&amp;"/"&amp;$AN$3,"")</f>
        <v/>
      </c>
      <c r="AT261" s="31" t="str">
        <f t="shared" si="186"/>
        <v/>
      </c>
      <c r="AU261" s="31" t="str">
        <f t="shared" si="186"/>
        <v/>
      </c>
      <c r="AV261" s="46" t="str">
        <f t="shared" ref="AV261:AX266" si="187">IFERROR(INDEX($E$3:$AI$3,MATCH($AN261&amp;AV$8&amp;ROW(G1),$E$26:$AI$26,0))&amp;"/"&amp;$AN$3,"")</f>
        <v/>
      </c>
      <c r="AW261" s="31" t="str">
        <f t="shared" si="187"/>
        <v/>
      </c>
      <c r="AX261" s="32" t="str">
        <f t="shared" si="187"/>
        <v/>
      </c>
      <c r="AZ261" s="48" t="s">
        <v>257</v>
      </c>
      <c r="BA261" s="49">
        <f>COUNTA(AP261:AP270)-COUNTBLANK(AP261:AP270)+(COUNTA(AQ261:AQ270)-COUNTBLANK(AQ261:AQ270))*0.5+(COUNTA(AR261:AR270)-COUNTBLANK(AR261:AR270))*0.5</f>
        <v>0</v>
      </c>
      <c r="BB261" s="67" t="str">
        <f>BB260</f>
        <v/>
      </c>
      <c r="BC261" s="67" t="str">
        <f>BC260</f>
        <v/>
      </c>
      <c r="BD261" s="59" t="str">
        <f t="shared" ref="BD261:BD266" si="188">IFERROR(INDEX($E$3:$AI$3,MATCH($AN261&amp;BD$8&amp;ROW(N1),$E$26:$AI$26,0))&amp;"/"&amp;$AN$3,"")</f>
        <v/>
      </c>
    </row>
    <row r="262" spans="39:56" ht="18.75">
      <c r="AM262" s="30" t="e">
        <f t="shared" ref="AM262:AM270" si="189">AM261</f>
        <v>#REF!</v>
      </c>
      <c r="AN262" s="27" t="e">
        <f>AN261</f>
        <v>#REF!</v>
      </c>
      <c r="AP262" s="46" t="str">
        <f t="shared" si="185"/>
        <v/>
      </c>
      <c r="AQ262" s="31" t="str">
        <f t="shared" si="185"/>
        <v/>
      </c>
      <c r="AR262" s="31" t="str">
        <f t="shared" si="185"/>
        <v/>
      </c>
      <c r="AS262" s="46" t="str">
        <f t="shared" si="186"/>
        <v/>
      </c>
      <c r="AT262" s="31" t="str">
        <f t="shared" si="186"/>
        <v/>
      </c>
      <c r="AU262" s="31" t="str">
        <f t="shared" si="186"/>
        <v/>
      </c>
      <c r="AV262" s="46" t="str">
        <f t="shared" si="187"/>
        <v/>
      </c>
      <c r="AW262" s="31" t="str">
        <f t="shared" si="187"/>
        <v/>
      </c>
      <c r="AX262" s="32" t="str">
        <f t="shared" si="187"/>
        <v/>
      </c>
      <c r="AZ262" s="48" t="s">
        <v>258</v>
      </c>
      <c r="BA262" s="49">
        <f>COUNTA(AS261:AS270)-COUNTBLANK(AS261:AS270)+(COUNTA(AT261:AT270)-COUNTBLANK(AT261:AT270))*0.5+(COUNTA(AU261:AU270)-COUNTBLANK(AU261:AU270))*0.5</f>
        <v>0</v>
      </c>
      <c r="BB262" s="67" t="str">
        <f t="shared" ref="BB262:BC271" si="190">BB261</f>
        <v/>
      </c>
      <c r="BC262" s="67" t="str">
        <f t="shared" si="190"/>
        <v/>
      </c>
      <c r="BD262" s="60" t="str">
        <f t="shared" si="188"/>
        <v/>
      </c>
    </row>
    <row r="263" spans="39:56" ht="18.75">
      <c r="AM263" s="30" t="e">
        <f t="shared" si="189"/>
        <v>#REF!</v>
      </c>
      <c r="AN263" s="27" t="e">
        <f t="shared" ref="AN263:AN270" si="191">AN262</f>
        <v>#REF!</v>
      </c>
      <c r="AP263" s="46" t="str">
        <f t="shared" si="185"/>
        <v/>
      </c>
      <c r="AQ263" s="31" t="str">
        <f t="shared" si="185"/>
        <v/>
      </c>
      <c r="AR263" s="31" t="str">
        <f t="shared" si="185"/>
        <v/>
      </c>
      <c r="AS263" s="46" t="str">
        <f t="shared" si="186"/>
        <v/>
      </c>
      <c r="AT263" s="31" t="str">
        <f t="shared" si="186"/>
        <v/>
      </c>
      <c r="AU263" s="31" t="str">
        <f t="shared" si="186"/>
        <v/>
      </c>
      <c r="AV263" s="46" t="str">
        <f t="shared" si="187"/>
        <v/>
      </c>
      <c r="AW263" s="31" t="str">
        <f t="shared" si="187"/>
        <v/>
      </c>
      <c r="AX263" s="32" t="str">
        <f t="shared" si="187"/>
        <v/>
      </c>
      <c r="AZ263" s="48" t="s">
        <v>259</v>
      </c>
      <c r="BA263" s="49">
        <f>COUNTA(AV261:AV270)-COUNTBLANK(AV261:AV270)+(COUNTA(AW261:AW270)-COUNTBLANK(AW261:AW270))*0.5+(COUNTA(AX261:AX270)-COUNTBLANK(AX261:AX270))*0.5</f>
        <v>0</v>
      </c>
      <c r="BB263" s="67" t="str">
        <f t="shared" si="190"/>
        <v/>
      </c>
      <c r="BC263" s="67" t="str">
        <f t="shared" si="190"/>
        <v/>
      </c>
      <c r="BD263" s="60" t="str">
        <f t="shared" si="188"/>
        <v/>
      </c>
    </row>
    <row r="264" spans="39:56" ht="20.25">
      <c r="AM264" s="30" t="e">
        <f t="shared" si="189"/>
        <v>#REF!</v>
      </c>
      <c r="AN264" s="27" t="e">
        <f t="shared" si="191"/>
        <v>#REF!</v>
      </c>
      <c r="AP264" s="46" t="str">
        <f t="shared" si="185"/>
        <v/>
      </c>
      <c r="AQ264" s="31" t="str">
        <f t="shared" si="185"/>
        <v/>
      </c>
      <c r="AR264" s="31" t="str">
        <f t="shared" si="185"/>
        <v/>
      </c>
      <c r="AS264" s="46" t="str">
        <f t="shared" si="186"/>
        <v/>
      </c>
      <c r="AT264" s="31" t="str">
        <f t="shared" si="186"/>
        <v/>
      </c>
      <c r="AU264" s="31" t="str">
        <f t="shared" si="186"/>
        <v/>
      </c>
      <c r="AV264" s="46" t="str">
        <f t="shared" si="187"/>
        <v/>
      </c>
      <c r="AW264" s="31" t="str">
        <f t="shared" si="187"/>
        <v/>
      </c>
      <c r="AX264" s="32" t="str">
        <f t="shared" si="187"/>
        <v/>
      </c>
      <c r="AZ264" s="33"/>
      <c r="BA264" s="23"/>
      <c r="BB264" s="67" t="str">
        <f t="shared" si="190"/>
        <v/>
      </c>
      <c r="BC264" s="67" t="str">
        <f t="shared" si="190"/>
        <v/>
      </c>
      <c r="BD264" s="60" t="str">
        <f t="shared" si="188"/>
        <v/>
      </c>
    </row>
    <row r="265" spans="39:56" ht="18">
      <c r="AM265" s="30" t="e">
        <f t="shared" si="189"/>
        <v>#REF!</v>
      </c>
      <c r="AN265" s="27" t="e">
        <f t="shared" si="191"/>
        <v>#REF!</v>
      </c>
      <c r="AP265" s="46" t="str">
        <f t="shared" si="185"/>
        <v/>
      </c>
      <c r="AQ265" s="31" t="str">
        <f t="shared" si="185"/>
        <v/>
      </c>
      <c r="AR265" s="31" t="str">
        <f t="shared" si="185"/>
        <v/>
      </c>
      <c r="AS265" s="46" t="str">
        <f t="shared" si="186"/>
        <v/>
      </c>
      <c r="AT265" s="31" t="str">
        <f t="shared" si="186"/>
        <v/>
      </c>
      <c r="AU265" s="31" t="str">
        <f t="shared" si="186"/>
        <v/>
      </c>
      <c r="AV265" s="46" t="str">
        <f t="shared" si="187"/>
        <v/>
      </c>
      <c r="AW265" s="31" t="str">
        <f t="shared" si="187"/>
        <v/>
      </c>
      <c r="AX265" s="32" t="str">
        <f t="shared" si="187"/>
        <v/>
      </c>
      <c r="AZ265" s="33"/>
      <c r="BB265" s="67" t="str">
        <f t="shared" si="190"/>
        <v/>
      </c>
      <c r="BC265" s="67" t="str">
        <f t="shared" si="190"/>
        <v/>
      </c>
      <c r="BD265" s="60" t="str">
        <f t="shared" si="188"/>
        <v/>
      </c>
    </row>
    <row r="266" spans="39:56" ht="20.25">
      <c r="AM266" s="30" t="e">
        <f t="shared" si="189"/>
        <v>#REF!</v>
      </c>
      <c r="AN266" s="27" t="e">
        <f t="shared" si="191"/>
        <v>#REF!</v>
      </c>
      <c r="AP266" s="46" t="str">
        <f t="shared" si="185"/>
        <v/>
      </c>
      <c r="AQ266" s="31" t="str">
        <f t="shared" si="185"/>
        <v/>
      </c>
      <c r="AR266" s="31" t="str">
        <f t="shared" si="185"/>
        <v/>
      </c>
      <c r="AS266" s="46" t="str">
        <f t="shared" si="186"/>
        <v/>
      </c>
      <c r="AT266" s="31" t="str">
        <f t="shared" si="186"/>
        <v/>
      </c>
      <c r="AU266" s="31" t="str">
        <f t="shared" si="186"/>
        <v/>
      </c>
      <c r="AV266" s="46" t="str">
        <f t="shared" si="187"/>
        <v/>
      </c>
      <c r="AW266" s="31" t="str">
        <f t="shared" si="187"/>
        <v/>
      </c>
      <c r="AX266" s="32" t="str">
        <f t="shared" si="187"/>
        <v/>
      </c>
      <c r="AZ266" s="23" t="s">
        <v>260</v>
      </c>
      <c r="BB266" s="67" t="str">
        <f t="shared" si="190"/>
        <v/>
      </c>
      <c r="BC266" s="67" t="str">
        <f t="shared" si="190"/>
        <v/>
      </c>
      <c r="BD266" s="60" t="str">
        <f t="shared" si="188"/>
        <v/>
      </c>
    </row>
    <row r="267" spans="39:56" ht="18">
      <c r="AM267" s="30" t="e">
        <f t="shared" si="189"/>
        <v>#REF!</v>
      </c>
      <c r="AN267" s="27" t="e">
        <f t="shared" si="191"/>
        <v>#REF!</v>
      </c>
      <c r="AP267" s="46" t="str">
        <f t="shared" ref="AP267:AR270" si="192">IFERROR(INDEX($E$3:$AI$3,MATCH($AN267&amp;AP$8&amp;ROW(A8),$E$26:$AI$26,0))&amp;"/"&amp;$AN$3,"")</f>
        <v/>
      </c>
      <c r="AQ267" s="31" t="str">
        <f t="shared" si="192"/>
        <v/>
      </c>
      <c r="AR267" s="31" t="str">
        <f t="shared" si="192"/>
        <v/>
      </c>
      <c r="AS267" s="46" t="str">
        <f t="shared" ref="AS267:AU270" si="193">IFERROR(INDEX($E$3:$AI$3,MATCH($AN267&amp;AS$8&amp;ROW(D8),$E$26:$AI$26,0))&amp;"/"&amp;$AN$3,"")</f>
        <v/>
      </c>
      <c r="AT267" s="31" t="str">
        <f t="shared" si="193"/>
        <v/>
      </c>
      <c r="AU267" s="31" t="str">
        <f t="shared" si="193"/>
        <v/>
      </c>
      <c r="AV267" s="46" t="str">
        <f t="shared" ref="AV267:AX270" si="194">IFERROR(INDEX($E$3:$AI$3,MATCH($AN267&amp;AV$8&amp;ROW(G8),$E$26:$AI$26,0))&amp;"/"&amp;$AN$3,"")</f>
        <v/>
      </c>
      <c r="AW267" s="31" t="str">
        <f t="shared" si="194"/>
        <v/>
      </c>
      <c r="AX267" s="32" t="str">
        <f t="shared" si="194"/>
        <v/>
      </c>
      <c r="AZ267" s="33"/>
      <c r="BB267" s="67" t="str">
        <f t="shared" si="190"/>
        <v/>
      </c>
      <c r="BC267" s="67" t="str">
        <f t="shared" si="190"/>
        <v/>
      </c>
      <c r="BD267" s="60" t="str">
        <f>IFERROR(INDEX($E$3:$AI$3,MATCH($AN267&amp;BD$8&amp;ROW(N8),$E$26:$AI$26,0))&amp;"/"&amp;$AN$3,"")</f>
        <v/>
      </c>
    </row>
    <row r="268" spans="39:56" ht="18">
      <c r="AM268" s="30" t="e">
        <f t="shared" si="189"/>
        <v>#REF!</v>
      </c>
      <c r="AN268" s="27" t="e">
        <f t="shared" si="191"/>
        <v>#REF!</v>
      </c>
      <c r="AP268" s="46" t="str">
        <f t="shared" si="192"/>
        <v/>
      </c>
      <c r="AQ268" s="31" t="str">
        <f t="shared" si="192"/>
        <v/>
      </c>
      <c r="AR268" s="31" t="str">
        <f t="shared" si="192"/>
        <v/>
      </c>
      <c r="AS268" s="46" t="str">
        <f t="shared" si="193"/>
        <v/>
      </c>
      <c r="AT268" s="31" t="str">
        <f t="shared" si="193"/>
        <v/>
      </c>
      <c r="AU268" s="31" t="str">
        <f t="shared" si="193"/>
        <v/>
      </c>
      <c r="AV268" s="46" t="str">
        <f t="shared" si="194"/>
        <v/>
      </c>
      <c r="AW268" s="31" t="str">
        <f t="shared" si="194"/>
        <v/>
      </c>
      <c r="AX268" s="32" t="str">
        <f t="shared" si="194"/>
        <v/>
      </c>
      <c r="BB268" s="67" t="str">
        <f t="shared" si="190"/>
        <v/>
      </c>
      <c r="BC268" s="67" t="str">
        <f t="shared" si="190"/>
        <v/>
      </c>
      <c r="BD268" s="60" t="str">
        <f>IFERROR(INDEX($E$3:$AI$3,MATCH($AN268&amp;BD$8&amp;ROW(N9),$E$26:$AI$26,0))&amp;"/"&amp;$AN$3,"")</f>
        <v/>
      </c>
    </row>
    <row r="269" spans="39:56" ht="18">
      <c r="AM269" s="30" t="e">
        <f t="shared" si="189"/>
        <v>#REF!</v>
      </c>
      <c r="AN269" s="27" t="e">
        <f t="shared" si="191"/>
        <v>#REF!</v>
      </c>
      <c r="AP269" s="46" t="str">
        <f t="shared" si="192"/>
        <v/>
      </c>
      <c r="AQ269" s="31" t="str">
        <f t="shared" si="192"/>
        <v/>
      </c>
      <c r="AR269" s="31" t="str">
        <f t="shared" si="192"/>
        <v/>
      </c>
      <c r="AS269" s="46" t="str">
        <f t="shared" si="193"/>
        <v/>
      </c>
      <c r="AT269" s="31" t="str">
        <f t="shared" si="193"/>
        <v/>
      </c>
      <c r="AU269" s="31" t="str">
        <f t="shared" si="193"/>
        <v/>
      </c>
      <c r="AV269" s="46" t="str">
        <f t="shared" si="194"/>
        <v/>
      </c>
      <c r="AW269" s="31" t="str">
        <f t="shared" si="194"/>
        <v/>
      </c>
      <c r="AX269" s="32" t="str">
        <f t="shared" si="194"/>
        <v/>
      </c>
      <c r="BB269" s="67" t="str">
        <f t="shared" si="190"/>
        <v/>
      </c>
      <c r="BC269" s="67" t="str">
        <f t="shared" si="190"/>
        <v/>
      </c>
      <c r="BD269" s="60" t="str">
        <f>IFERROR(INDEX($E$3:$AI$3,MATCH($AN269&amp;BD$8&amp;ROW(N10),$E$26:$AI$26,0))&amp;"/"&amp;$AN$3,"")</f>
        <v/>
      </c>
    </row>
    <row r="270" spans="39:56" ht="18.75" thickBot="1">
      <c r="AM270" s="51" t="e">
        <f t="shared" si="189"/>
        <v>#REF!</v>
      </c>
      <c r="AN270" s="28" t="e">
        <f t="shared" si="191"/>
        <v>#REF!</v>
      </c>
      <c r="AO270" s="26"/>
      <c r="AP270" s="52" t="str">
        <f t="shared" si="192"/>
        <v/>
      </c>
      <c r="AQ270" s="53" t="str">
        <f t="shared" si="192"/>
        <v/>
      </c>
      <c r="AR270" s="53" t="str">
        <f t="shared" si="192"/>
        <v/>
      </c>
      <c r="AS270" s="52" t="str">
        <f t="shared" si="193"/>
        <v/>
      </c>
      <c r="AT270" s="53" t="str">
        <f t="shared" si="193"/>
        <v/>
      </c>
      <c r="AU270" s="53" t="str">
        <f t="shared" si="193"/>
        <v/>
      </c>
      <c r="AV270" s="52" t="str">
        <f t="shared" si="194"/>
        <v/>
      </c>
      <c r="AW270" s="53" t="str">
        <f t="shared" si="194"/>
        <v/>
      </c>
      <c r="AX270" s="54" t="str">
        <f t="shared" si="194"/>
        <v/>
      </c>
      <c r="AZ270" s="26" t="str">
        <f>AP270</f>
        <v/>
      </c>
      <c r="BA270" s="29"/>
      <c r="BB270" s="67" t="str">
        <f t="shared" si="190"/>
        <v/>
      </c>
      <c r="BC270" s="67" t="str">
        <f t="shared" si="190"/>
        <v/>
      </c>
      <c r="BD270" s="61" t="str">
        <f>IFERROR(INDEX($E$3:$AI$3,MATCH($AN270&amp;BD$8&amp;ROW(N11),$E$26:$AI$26,0))&amp;"/"&amp;$AN$3,"")</f>
        <v/>
      </c>
    </row>
    <row r="271" spans="39:56" ht="15.75" thickBot="1">
      <c r="BA271" s="22"/>
      <c r="BB271" s="67" t="str">
        <f t="shared" si="190"/>
        <v/>
      </c>
      <c r="BC271" s="67" t="str">
        <f t="shared" si="190"/>
        <v/>
      </c>
    </row>
    <row r="272" spans="39:56" ht="20.25">
      <c r="AM272" s="39"/>
      <c r="AN272" s="40"/>
      <c r="AO272" s="36"/>
      <c r="AP272" s="45" t="s">
        <v>247</v>
      </c>
      <c r="AQ272" s="37" t="s">
        <v>248</v>
      </c>
      <c r="AR272" s="37" t="s">
        <v>249</v>
      </c>
      <c r="AS272" s="45" t="s">
        <v>250</v>
      </c>
      <c r="AT272" s="37" t="s">
        <v>251</v>
      </c>
      <c r="AU272" s="37" t="s">
        <v>252</v>
      </c>
      <c r="AV272" s="45" t="s">
        <v>253</v>
      </c>
      <c r="AW272" s="37" t="s">
        <v>254</v>
      </c>
      <c r="AX272" s="38" t="s">
        <v>255</v>
      </c>
      <c r="AZ272" s="35" t="str">
        <f>$AN$3&amp;" Total"</f>
        <v>7/2021 Total</v>
      </c>
      <c r="BA272" s="47"/>
      <c r="BB272" s="66" t="str">
        <f>IF(COUNTBLANK(AP273:AX273)=9,"","Leave")</f>
        <v/>
      </c>
      <c r="BC272" s="66" t="str">
        <f>IFERROR(VLOOKUP(AM273,#REF!,4,FALSE),"")</f>
        <v/>
      </c>
      <c r="BD272" s="58" t="s">
        <v>256</v>
      </c>
    </row>
    <row r="273" spans="39:56" ht="20.25">
      <c r="AM273" s="25" t="e">
        <f>B27</f>
        <v>#REF!</v>
      </c>
      <c r="AN273" s="34" t="e">
        <f>D27</f>
        <v>#REF!</v>
      </c>
      <c r="AP273" s="46" t="str">
        <f t="shared" ref="AP273:AR278" si="195">IFERROR(INDEX($E$3:$AI$3,MATCH($AN273&amp;AP$8&amp;ROW(A1),$E$27:$AI$27,0))&amp;"/"&amp;$AN$3,"")</f>
        <v/>
      </c>
      <c r="AQ273" s="31" t="str">
        <f t="shared" si="195"/>
        <v/>
      </c>
      <c r="AR273" s="31" t="str">
        <f t="shared" si="195"/>
        <v/>
      </c>
      <c r="AS273" s="46" t="str">
        <f t="shared" ref="AS273:AU278" si="196">IFERROR(INDEX($E$3:$AI$3,MATCH($AN273&amp;AS$8&amp;ROW(D1),$E$27:$AI$27,0))&amp;"/"&amp;$AN$3,"")</f>
        <v/>
      </c>
      <c r="AT273" s="31" t="str">
        <f t="shared" si="196"/>
        <v/>
      </c>
      <c r="AU273" s="31" t="str">
        <f t="shared" si="196"/>
        <v/>
      </c>
      <c r="AV273" s="46" t="str">
        <f t="shared" ref="AV273:AX278" si="197">IFERROR(INDEX($E$3:$AI$3,MATCH($AN273&amp;AV$8&amp;ROW(G1),$E$27:$AI$27,0))&amp;"/"&amp;$AN$3,"")</f>
        <v/>
      </c>
      <c r="AW273" s="31" t="str">
        <f t="shared" si="197"/>
        <v/>
      </c>
      <c r="AX273" s="32" t="str">
        <f t="shared" si="197"/>
        <v/>
      </c>
      <c r="AZ273" s="48" t="s">
        <v>257</v>
      </c>
      <c r="BA273" s="49">
        <f>COUNTA(AP273:AP282)-COUNTBLANK(AP273:AP282)+(COUNTA(AQ273:AQ282)-COUNTBLANK(AQ273:AQ282))*0.5+(COUNTA(AR273:AR282)-COUNTBLANK(AR273:AR282))*0.5</f>
        <v>0</v>
      </c>
      <c r="BB273" s="67" t="str">
        <f>BB272</f>
        <v/>
      </c>
      <c r="BC273" s="67" t="str">
        <f>BC272</f>
        <v/>
      </c>
      <c r="BD273" s="59" t="str">
        <f t="shared" ref="BD273:BD278" si="198">IFERROR(INDEX($E$3:$AI$3,MATCH($AN273&amp;BD$8&amp;ROW(N1),$E$27:$AI$27,0))&amp;"/"&amp;$AN$3,"")</f>
        <v/>
      </c>
    </row>
    <row r="274" spans="39:56" ht="18.75">
      <c r="AM274" s="30" t="e">
        <f t="shared" ref="AM274:AM282" si="199">AM273</f>
        <v>#REF!</v>
      </c>
      <c r="AN274" s="27" t="e">
        <f>AN273</f>
        <v>#REF!</v>
      </c>
      <c r="AP274" s="46" t="str">
        <f t="shared" si="195"/>
        <v/>
      </c>
      <c r="AQ274" s="31" t="str">
        <f t="shared" si="195"/>
        <v/>
      </c>
      <c r="AR274" s="31" t="str">
        <f t="shared" si="195"/>
        <v/>
      </c>
      <c r="AS274" s="46" t="str">
        <f t="shared" si="196"/>
        <v/>
      </c>
      <c r="AT274" s="31" t="str">
        <f t="shared" si="196"/>
        <v/>
      </c>
      <c r="AU274" s="31" t="str">
        <f t="shared" si="196"/>
        <v/>
      </c>
      <c r="AV274" s="46" t="str">
        <f t="shared" si="197"/>
        <v/>
      </c>
      <c r="AW274" s="31" t="str">
        <f t="shared" si="197"/>
        <v/>
      </c>
      <c r="AX274" s="32" t="str">
        <f t="shared" si="197"/>
        <v/>
      </c>
      <c r="AZ274" s="48" t="s">
        <v>258</v>
      </c>
      <c r="BA274" s="49">
        <f>COUNTA(AS273:AS282)-COUNTBLANK(AS273:AS282)+(COUNTA(AT273:AT282)-COUNTBLANK(AT273:AT282))*0.5+(COUNTA(AU273:AU282)-COUNTBLANK(AU273:AU282))*0.5</f>
        <v>0</v>
      </c>
      <c r="BB274" s="67" t="str">
        <f t="shared" ref="BB274:BC283" si="200">BB273</f>
        <v/>
      </c>
      <c r="BC274" s="67" t="str">
        <f t="shared" si="200"/>
        <v/>
      </c>
      <c r="BD274" s="60" t="str">
        <f t="shared" si="198"/>
        <v/>
      </c>
    </row>
    <row r="275" spans="39:56" ht="18.75">
      <c r="AM275" s="30" t="e">
        <f t="shared" si="199"/>
        <v>#REF!</v>
      </c>
      <c r="AN275" s="27" t="e">
        <f t="shared" ref="AN275:AN282" si="201">AN274</f>
        <v>#REF!</v>
      </c>
      <c r="AP275" s="46" t="str">
        <f t="shared" si="195"/>
        <v/>
      </c>
      <c r="AQ275" s="31" t="str">
        <f t="shared" si="195"/>
        <v/>
      </c>
      <c r="AR275" s="31" t="str">
        <f t="shared" si="195"/>
        <v/>
      </c>
      <c r="AS275" s="46" t="str">
        <f t="shared" si="196"/>
        <v/>
      </c>
      <c r="AT275" s="31" t="str">
        <f t="shared" si="196"/>
        <v/>
      </c>
      <c r="AU275" s="31" t="str">
        <f t="shared" si="196"/>
        <v/>
      </c>
      <c r="AV275" s="46" t="str">
        <f t="shared" si="197"/>
        <v/>
      </c>
      <c r="AW275" s="31" t="str">
        <f t="shared" si="197"/>
        <v/>
      </c>
      <c r="AX275" s="32" t="str">
        <f t="shared" si="197"/>
        <v/>
      </c>
      <c r="AZ275" s="48" t="s">
        <v>259</v>
      </c>
      <c r="BA275" s="49">
        <f>COUNTA(AV273:AV282)-COUNTBLANK(AV273:AV282)+(COUNTA(AW273:AW282)-COUNTBLANK(AW273:AW282))*0.5+(COUNTA(AX273:AX282)-COUNTBLANK(AX273:AX282))*0.5</f>
        <v>0</v>
      </c>
      <c r="BB275" s="67" t="str">
        <f t="shared" si="200"/>
        <v/>
      </c>
      <c r="BC275" s="67" t="str">
        <f t="shared" si="200"/>
        <v/>
      </c>
      <c r="BD275" s="60" t="str">
        <f t="shared" si="198"/>
        <v/>
      </c>
    </row>
    <row r="276" spans="39:56" ht="20.25">
      <c r="AM276" s="30" t="e">
        <f t="shared" si="199"/>
        <v>#REF!</v>
      </c>
      <c r="AN276" s="27" t="e">
        <f t="shared" si="201"/>
        <v>#REF!</v>
      </c>
      <c r="AP276" s="46" t="str">
        <f t="shared" si="195"/>
        <v/>
      </c>
      <c r="AQ276" s="31" t="str">
        <f t="shared" si="195"/>
        <v/>
      </c>
      <c r="AR276" s="31" t="str">
        <f t="shared" si="195"/>
        <v/>
      </c>
      <c r="AS276" s="46" t="str">
        <f t="shared" si="196"/>
        <v/>
      </c>
      <c r="AT276" s="31" t="str">
        <f t="shared" si="196"/>
        <v/>
      </c>
      <c r="AU276" s="31" t="str">
        <f t="shared" si="196"/>
        <v/>
      </c>
      <c r="AV276" s="46" t="str">
        <f t="shared" si="197"/>
        <v/>
      </c>
      <c r="AW276" s="31" t="str">
        <f t="shared" si="197"/>
        <v/>
      </c>
      <c r="AX276" s="32" t="str">
        <f t="shared" si="197"/>
        <v/>
      </c>
      <c r="AZ276" s="33"/>
      <c r="BA276" s="23"/>
      <c r="BB276" s="67" t="str">
        <f t="shared" si="200"/>
        <v/>
      </c>
      <c r="BC276" s="67" t="str">
        <f t="shared" si="200"/>
        <v/>
      </c>
      <c r="BD276" s="60" t="str">
        <f t="shared" si="198"/>
        <v/>
      </c>
    </row>
    <row r="277" spans="39:56" ht="18">
      <c r="AM277" s="30" t="e">
        <f t="shared" si="199"/>
        <v>#REF!</v>
      </c>
      <c r="AN277" s="27" t="e">
        <f t="shared" si="201"/>
        <v>#REF!</v>
      </c>
      <c r="AP277" s="46" t="str">
        <f t="shared" si="195"/>
        <v/>
      </c>
      <c r="AQ277" s="31" t="str">
        <f t="shared" si="195"/>
        <v/>
      </c>
      <c r="AR277" s="31" t="str">
        <f t="shared" si="195"/>
        <v/>
      </c>
      <c r="AS277" s="46" t="str">
        <f t="shared" si="196"/>
        <v/>
      </c>
      <c r="AT277" s="31" t="str">
        <f t="shared" si="196"/>
        <v/>
      </c>
      <c r="AU277" s="31" t="str">
        <f t="shared" si="196"/>
        <v/>
      </c>
      <c r="AV277" s="46" t="str">
        <f t="shared" si="197"/>
        <v/>
      </c>
      <c r="AW277" s="31" t="str">
        <f t="shared" si="197"/>
        <v/>
      </c>
      <c r="AX277" s="32" t="str">
        <f t="shared" si="197"/>
        <v/>
      </c>
      <c r="AZ277" s="33"/>
      <c r="BB277" s="67" t="str">
        <f t="shared" si="200"/>
        <v/>
      </c>
      <c r="BC277" s="67" t="str">
        <f t="shared" si="200"/>
        <v/>
      </c>
      <c r="BD277" s="60" t="str">
        <f t="shared" si="198"/>
        <v/>
      </c>
    </row>
    <row r="278" spans="39:56" ht="20.25">
      <c r="AM278" s="30" t="e">
        <f t="shared" si="199"/>
        <v>#REF!</v>
      </c>
      <c r="AN278" s="27" t="e">
        <f t="shared" si="201"/>
        <v>#REF!</v>
      </c>
      <c r="AP278" s="46" t="str">
        <f t="shared" si="195"/>
        <v/>
      </c>
      <c r="AQ278" s="31" t="str">
        <f t="shared" si="195"/>
        <v/>
      </c>
      <c r="AR278" s="31" t="str">
        <f t="shared" si="195"/>
        <v/>
      </c>
      <c r="AS278" s="46" t="str">
        <f t="shared" si="196"/>
        <v/>
      </c>
      <c r="AT278" s="31" t="str">
        <f t="shared" si="196"/>
        <v/>
      </c>
      <c r="AU278" s="31" t="str">
        <f t="shared" si="196"/>
        <v/>
      </c>
      <c r="AV278" s="46" t="str">
        <f t="shared" si="197"/>
        <v/>
      </c>
      <c r="AW278" s="31" t="str">
        <f t="shared" si="197"/>
        <v/>
      </c>
      <c r="AX278" s="32" t="str">
        <f t="shared" si="197"/>
        <v/>
      </c>
      <c r="AZ278" s="23" t="s">
        <v>260</v>
      </c>
      <c r="BB278" s="67" t="str">
        <f t="shared" si="200"/>
        <v/>
      </c>
      <c r="BC278" s="67" t="str">
        <f t="shared" si="200"/>
        <v/>
      </c>
      <c r="BD278" s="60" t="str">
        <f t="shared" si="198"/>
        <v/>
      </c>
    </row>
    <row r="279" spans="39:56" ht="18">
      <c r="AM279" s="30" t="e">
        <f t="shared" si="199"/>
        <v>#REF!</v>
      </c>
      <c r="AN279" s="27" t="e">
        <f t="shared" si="201"/>
        <v>#REF!</v>
      </c>
      <c r="AP279" s="46" t="str">
        <f t="shared" ref="AP279:AR282" si="202">IFERROR(INDEX($E$3:$AI$3,MATCH($AN279&amp;AP$8&amp;ROW(A8),$E$27:$AI$27,0))&amp;"/"&amp;$AN$3,"")</f>
        <v/>
      </c>
      <c r="AQ279" s="31" t="str">
        <f t="shared" si="202"/>
        <v/>
      </c>
      <c r="AR279" s="31" t="str">
        <f t="shared" si="202"/>
        <v/>
      </c>
      <c r="AS279" s="46" t="str">
        <f t="shared" ref="AS279:AU282" si="203">IFERROR(INDEX($E$3:$AI$3,MATCH($AN279&amp;AS$8&amp;ROW(D8),$E$27:$AI$27,0))&amp;"/"&amp;$AN$3,"")</f>
        <v/>
      </c>
      <c r="AT279" s="31" t="str">
        <f t="shared" si="203"/>
        <v/>
      </c>
      <c r="AU279" s="31" t="str">
        <f t="shared" si="203"/>
        <v/>
      </c>
      <c r="AV279" s="46" t="str">
        <f t="shared" ref="AV279:AX282" si="204">IFERROR(INDEX($E$3:$AI$3,MATCH($AN279&amp;AV$8&amp;ROW(G8),$E$27:$AI$27,0))&amp;"/"&amp;$AN$3,"")</f>
        <v/>
      </c>
      <c r="AW279" s="31" t="str">
        <f t="shared" si="204"/>
        <v/>
      </c>
      <c r="AX279" s="32" t="str">
        <f t="shared" si="204"/>
        <v/>
      </c>
      <c r="AZ279" s="33"/>
      <c r="BB279" s="67" t="str">
        <f t="shared" si="200"/>
        <v/>
      </c>
      <c r="BC279" s="67" t="str">
        <f t="shared" si="200"/>
        <v/>
      </c>
      <c r="BD279" s="60" t="str">
        <f>IFERROR(INDEX($E$3:$AI$3,MATCH($AN279&amp;BD$8&amp;ROW(N8),$E$27:$AI$27,0))&amp;"/"&amp;$AN$3,"")</f>
        <v/>
      </c>
    </row>
    <row r="280" spans="39:56" ht="18">
      <c r="AM280" s="30" t="e">
        <f t="shared" si="199"/>
        <v>#REF!</v>
      </c>
      <c r="AN280" s="27" t="e">
        <f t="shared" si="201"/>
        <v>#REF!</v>
      </c>
      <c r="AP280" s="46" t="str">
        <f t="shared" si="202"/>
        <v/>
      </c>
      <c r="AQ280" s="31" t="str">
        <f t="shared" si="202"/>
        <v/>
      </c>
      <c r="AR280" s="31" t="str">
        <f t="shared" si="202"/>
        <v/>
      </c>
      <c r="AS280" s="46" t="str">
        <f t="shared" si="203"/>
        <v/>
      </c>
      <c r="AT280" s="31" t="str">
        <f t="shared" si="203"/>
        <v/>
      </c>
      <c r="AU280" s="31" t="str">
        <f t="shared" si="203"/>
        <v/>
      </c>
      <c r="AV280" s="46" t="str">
        <f t="shared" si="204"/>
        <v/>
      </c>
      <c r="AW280" s="31" t="str">
        <f t="shared" si="204"/>
        <v/>
      </c>
      <c r="AX280" s="32" t="str">
        <f t="shared" si="204"/>
        <v/>
      </c>
      <c r="BB280" s="67" t="str">
        <f t="shared" si="200"/>
        <v/>
      </c>
      <c r="BC280" s="67" t="str">
        <f t="shared" si="200"/>
        <v/>
      </c>
      <c r="BD280" s="60" t="str">
        <f>IFERROR(INDEX($E$3:$AI$3,MATCH($AN280&amp;BD$8&amp;ROW(N9),$E$27:$AI$27,0))&amp;"/"&amp;$AN$3,"")</f>
        <v/>
      </c>
    </row>
    <row r="281" spans="39:56" ht="18">
      <c r="AM281" s="30" t="e">
        <f t="shared" si="199"/>
        <v>#REF!</v>
      </c>
      <c r="AN281" s="27" t="e">
        <f t="shared" si="201"/>
        <v>#REF!</v>
      </c>
      <c r="AP281" s="46" t="str">
        <f t="shared" si="202"/>
        <v/>
      </c>
      <c r="AQ281" s="31" t="str">
        <f t="shared" si="202"/>
        <v/>
      </c>
      <c r="AR281" s="31" t="str">
        <f t="shared" si="202"/>
        <v/>
      </c>
      <c r="AS281" s="46" t="str">
        <f t="shared" si="203"/>
        <v/>
      </c>
      <c r="AT281" s="31" t="str">
        <f t="shared" si="203"/>
        <v/>
      </c>
      <c r="AU281" s="31" t="str">
        <f t="shared" si="203"/>
        <v/>
      </c>
      <c r="AV281" s="46" t="str">
        <f t="shared" si="204"/>
        <v/>
      </c>
      <c r="AW281" s="31" t="str">
        <f t="shared" si="204"/>
        <v/>
      </c>
      <c r="AX281" s="32" t="str">
        <f t="shared" si="204"/>
        <v/>
      </c>
      <c r="BB281" s="67" t="str">
        <f t="shared" si="200"/>
        <v/>
      </c>
      <c r="BC281" s="67" t="str">
        <f t="shared" si="200"/>
        <v/>
      </c>
      <c r="BD281" s="60" t="str">
        <f>IFERROR(INDEX($E$3:$AI$3,MATCH($AN281&amp;BD$8&amp;ROW(N10),$E$27:$AI$27,0))&amp;"/"&amp;$AN$3,"")</f>
        <v/>
      </c>
    </row>
    <row r="282" spans="39:56" ht="18.75" thickBot="1">
      <c r="AM282" s="51" t="e">
        <f t="shared" si="199"/>
        <v>#REF!</v>
      </c>
      <c r="AN282" s="28" t="e">
        <f t="shared" si="201"/>
        <v>#REF!</v>
      </c>
      <c r="AO282" s="26"/>
      <c r="AP282" s="52" t="str">
        <f t="shared" si="202"/>
        <v/>
      </c>
      <c r="AQ282" s="53" t="str">
        <f t="shared" si="202"/>
        <v/>
      </c>
      <c r="AR282" s="53" t="str">
        <f t="shared" si="202"/>
        <v/>
      </c>
      <c r="AS282" s="52" t="str">
        <f t="shared" si="203"/>
        <v/>
      </c>
      <c r="AT282" s="53" t="str">
        <f t="shared" si="203"/>
        <v/>
      </c>
      <c r="AU282" s="53" t="str">
        <f t="shared" si="203"/>
        <v/>
      </c>
      <c r="AV282" s="52" t="str">
        <f t="shared" si="204"/>
        <v/>
      </c>
      <c r="AW282" s="53" t="str">
        <f t="shared" si="204"/>
        <v/>
      </c>
      <c r="AX282" s="54" t="str">
        <f t="shared" si="204"/>
        <v/>
      </c>
      <c r="AZ282" s="26" t="str">
        <f>AP282</f>
        <v/>
      </c>
      <c r="BA282" s="29"/>
      <c r="BB282" s="67" t="str">
        <f t="shared" si="200"/>
        <v/>
      </c>
      <c r="BC282" s="67" t="str">
        <f t="shared" si="200"/>
        <v/>
      </c>
      <c r="BD282" s="61" t="str">
        <f>IFERROR(INDEX($E$3:$AI$3,MATCH($AN282&amp;BD$8&amp;ROW(N11),$E$27:$AI$27,0))&amp;"/"&amp;$AN$3,"")</f>
        <v/>
      </c>
    </row>
    <row r="283" spans="39:56" ht="15.75" thickBot="1">
      <c r="BA283" s="22"/>
      <c r="BB283" s="67" t="str">
        <f t="shared" si="200"/>
        <v/>
      </c>
      <c r="BC283" s="67" t="str">
        <f t="shared" si="200"/>
        <v/>
      </c>
    </row>
    <row r="284" spans="39:56" ht="20.25">
      <c r="AM284" s="39"/>
      <c r="AN284" s="40"/>
      <c r="AO284" s="36"/>
      <c r="AP284" s="45" t="s">
        <v>247</v>
      </c>
      <c r="AQ284" s="37" t="s">
        <v>248</v>
      </c>
      <c r="AR284" s="37" t="s">
        <v>249</v>
      </c>
      <c r="AS284" s="45" t="s">
        <v>250</v>
      </c>
      <c r="AT284" s="37" t="s">
        <v>251</v>
      </c>
      <c r="AU284" s="37" t="s">
        <v>252</v>
      </c>
      <c r="AV284" s="45" t="s">
        <v>253</v>
      </c>
      <c r="AW284" s="37" t="s">
        <v>254</v>
      </c>
      <c r="AX284" s="38" t="s">
        <v>255</v>
      </c>
      <c r="AZ284" s="35" t="str">
        <f>$AN$3&amp;" Total"</f>
        <v>7/2021 Total</v>
      </c>
      <c r="BA284" s="47"/>
      <c r="BB284" s="66" t="str">
        <f>IF(COUNTBLANK(AP285:AX285)=9,"","Leave")</f>
        <v/>
      </c>
      <c r="BC284" s="66" t="str">
        <f>IFERROR(VLOOKUP(AM285,#REF!,4,FALSE),"")</f>
        <v/>
      </c>
      <c r="BD284" s="58" t="s">
        <v>256</v>
      </c>
    </row>
    <row r="285" spans="39:56" ht="20.25">
      <c r="AM285" s="25" t="e">
        <f>B28</f>
        <v>#REF!</v>
      </c>
      <c r="AN285" s="34" t="e">
        <f>D28</f>
        <v>#REF!</v>
      </c>
      <c r="AP285" s="46" t="str">
        <f t="shared" ref="AP285:AR290" si="205">IFERROR(INDEX($E$3:$AI$3,MATCH($AN285&amp;AP$8&amp;ROW(A1),$E$28:$AI$28,0))&amp;"/"&amp;$AN$3,"")</f>
        <v/>
      </c>
      <c r="AQ285" s="31" t="str">
        <f t="shared" si="205"/>
        <v/>
      </c>
      <c r="AR285" s="31" t="str">
        <f t="shared" si="205"/>
        <v/>
      </c>
      <c r="AS285" s="46" t="str">
        <f t="shared" ref="AS285:AU290" si="206">IFERROR(INDEX($E$3:$AI$3,MATCH($AN285&amp;AS$8&amp;ROW(D1),$E$28:$AI$28,0))&amp;"/"&amp;$AN$3,"")</f>
        <v/>
      </c>
      <c r="AT285" s="31" t="str">
        <f t="shared" si="206"/>
        <v/>
      </c>
      <c r="AU285" s="31" t="str">
        <f t="shared" si="206"/>
        <v/>
      </c>
      <c r="AV285" s="46" t="str">
        <f t="shared" ref="AV285:AX290" si="207">IFERROR(INDEX($E$3:$AI$3,MATCH($AN285&amp;AV$8&amp;ROW(G1),$E$28:$AI$28,0))&amp;"/"&amp;$AN$3,"")</f>
        <v/>
      </c>
      <c r="AW285" s="31" t="str">
        <f t="shared" si="207"/>
        <v/>
      </c>
      <c r="AX285" s="32" t="str">
        <f t="shared" si="207"/>
        <v/>
      </c>
      <c r="AZ285" s="48" t="s">
        <v>257</v>
      </c>
      <c r="BA285" s="49">
        <f>COUNTA(AP285:AP294)-COUNTBLANK(AP285:AP294)+(COUNTA(AQ285:AQ294)-COUNTBLANK(AQ285:AQ294))*0.5+(COUNTA(AR285:AR294)-COUNTBLANK(AR285:AR294))*0.5</f>
        <v>0</v>
      </c>
      <c r="BB285" s="67" t="str">
        <f>BB284</f>
        <v/>
      </c>
      <c r="BC285" s="67" t="str">
        <f>BC284</f>
        <v/>
      </c>
      <c r="BD285" s="59" t="str">
        <f t="shared" ref="BD285:BD290" si="208">IFERROR(INDEX($E$3:$AI$3,MATCH($AN285&amp;BD$8&amp;ROW(N1),$E$28:$AI$28,0))&amp;"/"&amp;$AN$3,"")</f>
        <v/>
      </c>
    </row>
    <row r="286" spans="39:56" ht="18.75">
      <c r="AM286" s="30" t="e">
        <f t="shared" ref="AM286:AM294" si="209">AM285</f>
        <v>#REF!</v>
      </c>
      <c r="AN286" s="27" t="e">
        <f>AN285</f>
        <v>#REF!</v>
      </c>
      <c r="AP286" s="46" t="str">
        <f t="shared" si="205"/>
        <v/>
      </c>
      <c r="AQ286" s="31" t="str">
        <f t="shared" si="205"/>
        <v/>
      </c>
      <c r="AR286" s="31" t="str">
        <f t="shared" si="205"/>
        <v/>
      </c>
      <c r="AS286" s="46" t="str">
        <f t="shared" si="206"/>
        <v/>
      </c>
      <c r="AT286" s="31" t="str">
        <f t="shared" si="206"/>
        <v/>
      </c>
      <c r="AU286" s="31" t="str">
        <f t="shared" si="206"/>
        <v/>
      </c>
      <c r="AV286" s="46" t="str">
        <f t="shared" si="207"/>
        <v/>
      </c>
      <c r="AW286" s="31" t="str">
        <f t="shared" si="207"/>
        <v/>
      </c>
      <c r="AX286" s="32" t="str">
        <f t="shared" si="207"/>
        <v/>
      </c>
      <c r="AZ286" s="48" t="s">
        <v>258</v>
      </c>
      <c r="BA286" s="49">
        <f>COUNTA(AS285:AS294)-COUNTBLANK(AS285:AS294)+(COUNTA(AT285:AT294)-COUNTBLANK(AT285:AT294))*0.5+(COUNTA(AU285:AU294)-COUNTBLANK(AU285:AU294))*0.5</f>
        <v>0</v>
      </c>
      <c r="BB286" s="67" t="str">
        <f t="shared" ref="BB286:BC295" si="210">BB285</f>
        <v/>
      </c>
      <c r="BC286" s="67" t="str">
        <f t="shared" si="210"/>
        <v/>
      </c>
      <c r="BD286" s="60" t="str">
        <f t="shared" si="208"/>
        <v/>
      </c>
    </row>
    <row r="287" spans="39:56" ht="18.75">
      <c r="AM287" s="30" t="e">
        <f t="shared" si="209"/>
        <v>#REF!</v>
      </c>
      <c r="AN287" s="27" t="e">
        <f t="shared" ref="AN287:AN294" si="211">AN286</f>
        <v>#REF!</v>
      </c>
      <c r="AP287" s="46" t="str">
        <f t="shared" si="205"/>
        <v/>
      </c>
      <c r="AQ287" s="31" t="str">
        <f t="shared" si="205"/>
        <v/>
      </c>
      <c r="AR287" s="31" t="str">
        <f t="shared" si="205"/>
        <v/>
      </c>
      <c r="AS287" s="46" t="str">
        <f t="shared" si="206"/>
        <v/>
      </c>
      <c r="AT287" s="31" t="str">
        <f t="shared" si="206"/>
        <v/>
      </c>
      <c r="AU287" s="31" t="str">
        <f t="shared" si="206"/>
        <v/>
      </c>
      <c r="AV287" s="46" t="str">
        <f t="shared" si="207"/>
        <v/>
      </c>
      <c r="AW287" s="31" t="str">
        <f t="shared" si="207"/>
        <v/>
      </c>
      <c r="AX287" s="32" t="str">
        <f t="shared" si="207"/>
        <v/>
      </c>
      <c r="AZ287" s="48" t="s">
        <v>259</v>
      </c>
      <c r="BA287" s="49">
        <f>COUNTA(AV285:AV294)-COUNTBLANK(AV285:AV294)+(COUNTA(AW285:AW294)-COUNTBLANK(AW285:AW294))*0.5+(COUNTA(AX285:AX294)-COUNTBLANK(AX285:AX294))*0.5</f>
        <v>0</v>
      </c>
      <c r="BB287" s="67" t="str">
        <f t="shared" si="210"/>
        <v/>
      </c>
      <c r="BC287" s="67" t="str">
        <f t="shared" si="210"/>
        <v/>
      </c>
      <c r="BD287" s="60" t="str">
        <f t="shared" si="208"/>
        <v/>
      </c>
    </row>
    <row r="288" spans="39:56" ht="20.25">
      <c r="AM288" s="30" t="e">
        <f t="shared" si="209"/>
        <v>#REF!</v>
      </c>
      <c r="AN288" s="27" t="e">
        <f t="shared" si="211"/>
        <v>#REF!</v>
      </c>
      <c r="AP288" s="46" t="str">
        <f t="shared" si="205"/>
        <v/>
      </c>
      <c r="AQ288" s="31" t="str">
        <f t="shared" si="205"/>
        <v/>
      </c>
      <c r="AR288" s="31" t="str">
        <f t="shared" si="205"/>
        <v/>
      </c>
      <c r="AS288" s="46" t="str">
        <f t="shared" si="206"/>
        <v/>
      </c>
      <c r="AT288" s="31" t="str">
        <f t="shared" si="206"/>
        <v/>
      </c>
      <c r="AU288" s="31" t="str">
        <f t="shared" si="206"/>
        <v/>
      </c>
      <c r="AV288" s="46" t="str">
        <f t="shared" si="207"/>
        <v/>
      </c>
      <c r="AW288" s="31" t="str">
        <f t="shared" si="207"/>
        <v/>
      </c>
      <c r="AX288" s="32" t="str">
        <f t="shared" si="207"/>
        <v/>
      </c>
      <c r="AZ288" s="33"/>
      <c r="BA288" s="23"/>
      <c r="BB288" s="67" t="str">
        <f t="shared" si="210"/>
        <v/>
      </c>
      <c r="BC288" s="67" t="str">
        <f t="shared" si="210"/>
        <v/>
      </c>
      <c r="BD288" s="60" t="str">
        <f t="shared" si="208"/>
        <v/>
      </c>
    </row>
    <row r="289" spans="39:56" ht="18">
      <c r="AM289" s="30" t="e">
        <f t="shared" si="209"/>
        <v>#REF!</v>
      </c>
      <c r="AN289" s="27" t="e">
        <f t="shared" si="211"/>
        <v>#REF!</v>
      </c>
      <c r="AP289" s="46" t="str">
        <f t="shared" si="205"/>
        <v/>
      </c>
      <c r="AQ289" s="31" t="str">
        <f t="shared" si="205"/>
        <v/>
      </c>
      <c r="AR289" s="31" t="str">
        <f t="shared" si="205"/>
        <v/>
      </c>
      <c r="AS289" s="46" t="str">
        <f t="shared" si="206"/>
        <v/>
      </c>
      <c r="AT289" s="31" t="str">
        <f t="shared" si="206"/>
        <v/>
      </c>
      <c r="AU289" s="31" t="str">
        <f t="shared" si="206"/>
        <v/>
      </c>
      <c r="AV289" s="46" t="str">
        <f t="shared" si="207"/>
        <v/>
      </c>
      <c r="AW289" s="31" t="str">
        <f t="shared" si="207"/>
        <v/>
      </c>
      <c r="AX289" s="32" t="str">
        <f t="shared" si="207"/>
        <v/>
      </c>
      <c r="AZ289" s="33"/>
      <c r="BB289" s="67" t="str">
        <f t="shared" si="210"/>
        <v/>
      </c>
      <c r="BC289" s="67" t="str">
        <f t="shared" si="210"/>
        <v/>
      </c>
      <c r="BD289" s="60" t="str">
        <f t="shared" si="208"/>
        <v/>
      </c>
    </row>
    <row r="290" spans="39:56" ht="20.25">
      <c r="AM290" s="30" t="e">
        <f t="shared" si="209"/>
        <v>#REF!</v>
      </c>
      <c r="AN290" s="27" t="e">
        <f t="shared" si="211"/>
        <v>#REF!</v>
      </c>
      <c r="AP290" s="46" t="str">
        <f t="shared" si="205"/>
        <v/>
      </c>
      <c r="AQ290" s="31" t="str">
        <f t="shared" si="205"/>
        <v/>
      </c>
      <c r="AR290" s="31" t="str">
        <f t="shared" si="205"/>
        <v/>
      </c>
      <c r="AS290" s="46" t="str">
        <f t="shared" si="206"/>
        <v/>
      </c>
      <c r="AT290" s="31" t="str">
        <f t="shared" si="206"/>
        <v/>
      </c>
      <c r="AU290" s="31" t="str">
        <f t="shared" si="206"/>
        <v/>
      </c>
      <c r="AV290" s="46" t="str">
        <f t="shared" si="207"/>
        <v/>
      </c>
      <c r="AW290" s="31" t="str">
        <f t="shared" si="207"/>
        <v/>
      </c>
      <c r="AX290" s="32" t="str">
        <f t="shared" si="207"/>
        <v/>
      </c>
      <c r="AZ290" s="23" t="s">
        <v>260</v>
      </c>
      <c r="BB290" s="67" t="str">
        <f t="shared" si="210"/>
        <v/>
      </c>
      <c r="BC290" s="67" t="str">
        <f t="shared" si="210"/>
        <v/>
      </c>
      <c r="BD290" s="60" t="str">
        <f t="shared" si="208"/>
        <v/>
      </c>
    </row>
    <row r="291" spans="39:56" ht="18">
      <c r="AM291" s="30" t="e">
        <f t="shared" si="209"/>
        <v>#REF!</v>
      </c>
      <c r="AN291" s="27" t="e">
        <f t="shared" si="211"/>
        <v>#REF!</v>
      </c>
      <c r="AP291" s="46" t="str">
        <f t="shared" ref="AP291:AR294" si="212">IFERROR(INDEX($E$3:$AI$3,MATCH($AN291&amp;AP$8&amp;ROW(A8),$E$28:$AI$28,0))&amp;"/"&amp;$AN$3,"")</f>
        <v/>
      </c>
      <c r="AQ291" s="31" t="str">
        <f t="shared" si="212"/>
        <v/>
      </c>
      <c r="AR291" s="31" t="str">
        <f t="shared" si="212"/>
        <v/>
      </c>
      <c r="AS291" s="46" t="str">
        <f t="shared" ref="AS291:AU294" si="213">IFERROR(INDEX($E$3:$AI$3,MATCH($AN291&amp;AS$8&amp;ROW(D8),$E$28:$AI$28,0))&amp;"/"&amp;$AN$3,"")</f>
        <v/>
      </c>
      <c r="AT291" s="31" t="str">
        <f t="shared" si="213"/>
        <v/>
      </c>
      <c r="AU291" s="31" t="str">
        <f t="shared" si="213"/>
        <v/>
      </c>
      <c r="AV291" s="46" t="str">
        <f t="shared" ref="AV291:AX294" si="214">IFERROR(INDEX($E$3:$AI$3,MATCH($AN291&amp;AV$8&amp;ROW(G8),$E$28:$AI$28,0))&amp;"/"&amp;$AN$3,"")</f>
        <v/>
      </c>
      <c r="AW291" s="31" t="str">
        <f t="shared" si="214"/>
        <v/>
      </c>
      <c r="AX291" s="32" t="str">
        <f t="shared" si="214"/>
        <v/>
      </c>
      <c r="AZ291" s="33"/>
      <c r="BB291" s="67" t="str">
        <f t="shared" si="210"/>
        <v/>
      </c>
      <c r="BC291" s="67" t="str">
        <f t="shared" si="210"/>
        <v/>
      </c>
      <c r="BD291" s="60" t="str">
        <f>IFERROR(INDEX($E$3:$AI$3,MATCH($AN291&amp;BD$8&amp;ROW(N8),$E$28:$AI$28,0))&amp;"/"&amp;$AN$3,"")</f>
        <v/>
      </c>
    </row>
    <row r="292" spans="39:56" ht="18">
      <c r="AM292" s="30" t="e">
        <f t="shared" si="209"/>
        <v>#REF!</v>
      </c>
      <c r="AN292" s="27" t="e">
        <f t="shared" si="211"/>
        <v>#REF!</v>
      </c>
      <c r="AP292" s="46" t="str">
        <f t="shared" si="212"/>
        <v/>
      </c>
      <c r="AQ292" s="31" t="str">
        <f t="shared" si="212"/>
        <v/>
      </c>
      <c r="AR292" s="31" t="str">
        <f t="shared" si="212"/>
        <v/>
      </c>
      <c r="AS292" s="46" t="str">
        <f t="shared" si="213"/>
        <v/>
      </c>
      <c r="AT292" s="31" t="str">
        <f t="shared" si="213"/>
        <v/>
      </c>
      <c r="AU292" s="31" t="str">
        <f t="shared" si="213"/>
        <v/>
      </c>
      <c r="AV292" s="46" t="str">
        <f t="shared" si="214"/>
        <v/>
      </c>
      <c r="AW292" s="31" t="str">
        <f t="shared" si="214"/>
        <v/>
      </c>
      <c r="AX292" s="32" t="str">
        <f t="shared" si="214"/>
        <v/>
      </c>
      <c r="BB292" s="67" t="str">
        <f t="shared" si="210"/>
        <v/>
      </c>
      <c r="BC292" s="67" t="str">
        <f t="shared" si="210"/>
        <v/>
      </c>
      <c r="BD292" s="60" t="str">
        <f>IFERROR(INDEX($E$3:$AI$3,MATCH($AN292&amp;BD$8&amp;ROW(N9),$E$28:$AI$28,0))&amp;"/"&amp;$AN$3,"")</f>
        <v/>
      </c>
    </row>
    <row r="293" spans="39:56" ht="18">
      <c r="AM293" s="30" t="e">
        <f t="shared" si="209"/>
        <v>#REF!</v>
      </c>
      <c r="AN293" s="27" t="e">
        <f t="shared" si="211"/>
        <v>#REF!</v>
      </c>
      <c r="AP293" s="46" t="str">
        <f t="shared" si="212"/>
        <v/>
      </c>
      <c r="AQ293" s="31" t="str">
        <f t="shared" si="212"/>
        <v/>
      </c>
      <c r="AR293" s="31" t="str">
        <f t="shared" si="212"/>
        <v/>
      </c>
      <c r="AS293" s="46" t="str">
        <f t="shared" si="213"/>
        <v/>
      </c>
      <c r="AT293" s="31" t="str">
        <f t="shared" si="213"/>
        <v/>
      </c>
      <c r="AU293" s="31" t="str">
        <f t="shared" si="213"/>
        <v/>
      </c>
      <c r="AV293" s="46" t="str">
        <f t="shared" si="214"/>
        <v/>
      </c>
      <c r="AW293" s="31" t="str">
        <f t="shared" si="214"/>
        <v/>
      </c>
      <c r="AX293" s="32" t="str">
        <f t="shared" si="214"/>
        <v/>
      </c>
      <c r="BB293" s="67" t="str">
        <f t="shared" si="210"/>
        <v/>
      </c>
      <c r="BC293" s="67" t="str">
        <f t="shared" si="210"/>
        <v/>
      </c>
      <c r="BD293" s="60" t="str">
        <f>IFERROR(INDEX($E$3:$AI$3,MATCH($AN293&amp;BD$8&amp;ROW(N10),$E$28:$AI$28,0))&amp;"/"&amp;$AN$3,"")</f>
        <v/>
      </c>
    </row>
    <row r="294" spans="39:56" ht="18.75" thickBot="1">
      <c r="AM294" s="51" t="e">
        <f t="shared" si="209"/>
        <v>#REF!</v>
      </c>
      <c r="AN294" s="28" t="e">
        <f t="shared" si="211"/>
        <v>#REF!</v>
      </c>
      <c r="AO294" s="26"/>
      <c r="AP294" s="52" t="str">
        <f t="shared" si="212"/>
        <v/>
      </c>
      <c r="AQ294" s="53" t="str">
        <f t="shared" si="212"/>
        <v/>
      </c>
      <c r="AR294" s="53" t="str">
        <f t="shared" si="212"/>
        <v/>
      </c>
      <c r="AS294" s="52" t="str">
        <f t="shared" si="213"/>
        <v/>
      </c>
      <c r="AT294" s="53" t="str">
        <f t="shared" si="213"/>
        <v/>
      </c>
      <c r="AU294" s="53" t="str">
        <f t="shared" si="213"/>
        <v/>
      </c>
      <c r="AV294" s="52" t="str">
        <f t="shared" si="214"/>
        <v/>
      </c>
      <c r="AW294" s="53" t="str">
        <f t="shared" si="214"/>
        <v/>
      </c>
      <c r="AX294" s="54" t="str">
        <f t="shared" si="214"/>
        <v/>
      </c>
      <c r="AZ294" s="26" t="str">
        <f>AP294</f>
        <v/>
      </c>
      <c r="BA294" s="29"/>
      <c r="BB294" s="67" t="str">
        <f t="shared" si="210"/>
        <v/>
      </c>
      <c r="BC294" s="67" t="str">
        <f t="shared" si="210"/>
        <v/>
      </c>
      <c r="BD294" s="61" t="str">
        <f>IFERROR(INDEX($E$3:$AI$3,MATCH($AN294&amp;BD$8&amp;ROW(N11),$E$28:$AI$28,0))&amp;"/"&amp;$AN$3,"")</f>
        <v/>
      </c>
    </row>
    <row r="295" spans="39:56" ht="15.75" thickBot="1">
      <c r="BA295" s="22"/>
      <c r="BB295" s="67" t="str">
        <f t="shared" si="210"/>
        <v/>
      </c>
      <c r="BC295" s="67" t="str">
        <f t="shared" si="210"/>
        <v/>
      </c>
    </row>
    <row r="296" spans="39:56" ht="20.25">
      <c r="AM296" s="39"/>
      <c r="AN296" s="40"/>
      <c r="AO296" s="36"/>
      <c r="AP296" s="45" t="s">
        <v>247</v>
      </c>
      <c r="AQ296" s="37" t="s">
        <v>248</v>
      </c>
      <c r="AR296" s="37" t="s">
        <v>249</v>
      </c>
      <c r="AS296" s="45" t="s">
        <v>250</v>
      </c>
      <c r="AT296" s="37" t="s">
        <v>251</v>
      </c>
      <c r="AU296" s="37" t="s">
        <v>252</v>
      </c>
      <c r="AV296" s="45" t="s">
        <v>253</v>
      </c>
      <c r="AW296" s="37" t="s">
        <v>254</v>
      </c>
      <c r="AX296" s="38" t="s">
        <v>255</v>
      </c>
      <c r="AZ296" s="35" t="str">
        <f>$AN$3&amp;" Total"</f>
        <v>7/2021 Total</v>
      </c>
      <c r="BA296" s="47"/>
      <c r="BB296" s="66" t="str">
        <f>IF(COUNTBLANK(AP297:AX297)=9,"","Leave")</f>
        <v/>
      </c>
      <c r="BC296" s="66" t="str">
        <f>IFERROR(VLOOKUP(AM297,#REF!,4,FALSE),"")</f>
        <v/>
      </c>
      <c r="BD296" s="58" t="s">
        <v>256</v>
      </c>
    </row>
    <row r="297" spans="39:56" ht="20.25">
      <c r="AM297" s="25" t="e">
        <f>B39</f>
        <v>#REF!</v>
      </c>
      <c r="AN297" s="34" t="e">
        <f>D39</f>
        <v>#REF!</v>
      </c>
      <c r="AP297" s="46" t="str">
        <f t="shared" ref="AP297:AR302" si="215">IFERROR(INDEX($E$3:$AI$3,MATCH($AN297&amp;AP$8&amp;ROW(A1),$E$29:$AI$29,0))&amp;"/"&amp;$AN$3,"")</f>
        <v/>
      </c>
      <c r="AQ297" s="31" t="str">
        <f t="shared" si="215"/>
        <v/>
      </c>
      <c r="AR297" s="31" t="str">
        <f t="shared" si="215"/>
        <v/>
      </c>
      <c r="AS297" s="46" t="str">
        <f t="shared" ref="AS297:AU302" si="216">IFERROR(INDEX($E$3:$AI$3,MATCH($AN297&amp;AS$8&amp;ROW(D1),$E$29:$AI$29,0))&amp;"/"&amp;$AN$3,"")</f>
        <v/>
      </c>
      <c r="AT297" s="31" t="str">
        <f t="shared" si="216"/>
        <v/>
      </c>
      <c r="AU297" s="31" t="str">
        <f t="shared" si="216"/>
        <v/>
      </c>
      <c r="AV297" s="46" t="str">
        <f t="shared" ref="AV297:AX302" si="217">IFERROR(INDEX($E$3:$AI$3,MATCH($AN297&amp;AV$8&amp;ROW(G1),$E$29:$AI$29,0))&amp;"/"&amp;$AN$3,"")</f>
        <v/>
      </c>
      <c r="AW297" s="31" t="str">
        <f t="shared" si="217"/>
        <v/>
      </c>
      <c r="AX297" s="32" t="str">
        <f t="shared" si="217"/>
        <v/>
      </c>
      <c r="AZ297" s="48" t="s">
        <v>257</v>
      </c>
      <c r="BA297" s="49">
        <f>COUNTA(AP297:AP306)-COUNTBLANK(AP297:AP306)+(COUNTA(AQ297:AQ306)-COUNTBLANK(AQ297:AQ306))*0.5+(COUNTA(AR297:AR306)-COUNTBLANK(AR297:AR306))*0.5</f>
        <v>0</v>
      </c>
      <c r="BB297" s="67" t="str">
        <f>BB296</f>
        <v/>
      </c>
      <c r="BC297" s="67" t="str">
        <f>BC296</f>
        <v/>
      </c>
      <c r="BD297" s="59" t="str">
        <f t="shared" ref="BD297:BD302" si="218">IFERROR(INDEX($E$3:$AI$3,MATCH($AN297&amp;BD$8&amp;ROW(N1),$E$29:$AI$29,0))&amp;"/"&amp;$AN$3,"")</f>
        <v/>
      </c>
    </row>
    <row r="298" spans="39:56" ht="18.75">
      <c r="AM298" s="30" t="e">
        <f t="shared" ref="AM298:AM306" si="219">AM297</f>
        <v>#REF!</v>
      </c>
      <c r="AN298" s="27" t="e">
        <f>AN297</f>
        <v>#REF!</v>
      </c>
      <c r="AP298" s="46" t="str">
        <f t="shared" si="215"/>
        <v/>
      </c>
      <c r="AQ298" s="31" t="str">
        <f t="shared" si="215"/>
        <v/>
      </c>
      <c r="AR298" s="31" t="str">
        <f t="shared" si="215"/>
        <v/>
      </c>
      <c r="AS298" s="46" t="str">
        <f t="shared" si="216"/>
        <v/>
      </c>
      <c r="AT298" s="31" t="str">
        <f t="shared" si="216"/>
        <v/>
      </c>
      <c r="AU298" s="31" t="str">
        <f t="shared" si="216"/>
        <v/>
      </c>
      <c r="AV298" s="46" t="str">
        <f t="shared" si="217"/>
        <v/>
      </c>
      <c r="AW298" s="31" t="str">
        <f t="shared" si="217"/>
        <v/>
      </c>
      <c r="AX298" s="32" t="str">
        <f t="shared" si="217"/>
        <v/>
      </c>
      <c r="AZ298" s="48" t="s">
        <v>258</v>
      </c>
      <c r="BA298" s="49">
        <f>COUNTA(AS297:AS306)-COUNTBLANK(AS297:AS306)+(COUNTA(AT297:AT306)-COUNTBLANK(AT297:AT306))*0.5+(COUNTA(AU297:AU306)-COUNTBLANK(AU297:AU306))*0.5</f>
        <v>0</v>
      </c>
      <c r="BB298" s="67" t="str">
        <f t="shared" ref="BB298:BC306" si="220">BB297</f>
        <v/>
      </c>
      <c r="BC298" s="67" t="str">
        <f t="shared" si="220"/>
        <v/>
      </c>
      <c r="BD298" s="60" t="str">
        <f t="shared" si="218"/>
        <v/>
      </c>
    </row>
    <row r="299" spans="39:56" ht="18.75">
      <c r="AM299" s="30" t="e">
        <f t="shared" si="219"/>
        <v>#REF!</v>
      </c>
      <c r="AN299" s="27" t="e">
        <f t="shared" ref="AN299:AN306" si="221">AN298</f>
        <v>#REF!</v>
      </c>
      <c r="AP299" s="46" t="str">
        <f t="shared" si="215"/>
        <v/>
      </c>
      <c r="AQ299" s="31" t="str">
        <f t="shared" si="215"/>
        <v/>
      </c>
      <c r="AR299" s="31" t="str">
        <f t="shared" si="215"/>
        <v/>
      </c>
      <c r="AS299" s="46" t="str">
        <f t="shared" si="216"/>
        <v/>
      </c>
      <c r="AT299" s="31" t="str">
        <f t="shared" si="216"/>
        <v/>
      </c>
      <c r="AU299" s="31" t="str">
        <f t="shared" si="216"/>
        <v/>
      </c>
      <c r="AV299" s="46" t="str">
        <f t="shared" si="217"/>
        <v/>
      </c>
      <c r="AW299" s="31" t="str">
        <f t="shared" si="217"/>
        <v/>
      </c>
      <c r="AX299" s="32" t="str">
        <f t="shared" si="217"/>
        <v/>
      </c>
      <c r="AZ299" s="48" t="s">
        <v>259</v>
      </c>
      <c r="BA299" s="49">
        <f>COUNTA(AV297:AV306)-COUNTBLANK(AV297:AV306)+(COUNTA(AW297:AW306)-COUNTBLANK(AW297:AW306))*0.5+(COUNTA(AX297:AX306)-COUNTBLANK(AX297:AX306))*0.5</f>
        <v>0</v>
      </c>
      <c r="BB299" s="67" t="str">
        <f t="shared" si="220"/>
        <v/>
      </c>
      <c r="BC299" s="67" t="str">
        <f t="shared" si="220"/>
        <v/>
      </c>
      <c r="BD299" s="60" t="str">
        <f t="shared" si="218"/>
        <v/>
      </c>
    </row>
    <row r="300" spans="39:56" ht="20.25">
      <c r="AM300" s="30" t="e">
        <f t="shared" si="219"/>
        <v>#REF!</v>
      </c>
      <c r="AN300" s="27" t="e">
        <f t="shared" si="221"/>
        <v>#REF!</v>
      </c>
      <c r="AP300" s="46" t="str">
        <f t="shared" si="215"/>
        <v/>
      </c>
      <c r="AQ300" s="31" t="str">
        <f t="shared" si="215"/>
        <v/>
      </c>
      <c r="AR300" s="31" t="str">
        <f t="shared" si="215"/>
        <v/>
      </c>
      <c r="AS300" s="46" t="str">
        <f t="shared" si="216"/>
        <v/>
      </c>
      <c r="AT300" s="31" t="str">
        <f t="shared" si="216"/>
        <v/>
      </c>
      <c r="AU300" s="31" t="str">
        <f t="shared" si="216"/>
        <v/>
      </c>
      <c r="AV300" s="46" t="str">
        <f t="shared" si="217"/>
        <v/>
      </c>
      <c r="AW300" s="31" t="str">
        <f t="shared" si="217"/>
        <v/>
      </c>
      <c r="AX300" s="32" t="str">
        <f t="shared" si="217"/>
        <v/>
      </c>
      <c r="AZ300" s="33"/>
      <c r="BA300" s="23"/>
      <c r="BB300" s="67" t="str">
        <f t="shared" si="220"/>
        <v/>
      </c>
      <c r="BC300" s="67" t="str">
        <f t="shared" si="220"/>
        <v/>
      </c>
      <c r="BD300" s="60" t="str">
        <f t="shared" si="218"/>
        <v/>
      </c>
    </row>
    <row r="301" spans="39:56" ht="18">
      <c r="AM301" s="30" t="e">
        <f t="shared" si="219"/>
        <v>#REF!</v>
      </c>
      <c r="AN301" s="27" t="e">
        <f t="shared" si="221"/>
        <v>#REF!</v>
      </c>
      <c r="AP301" s="46" t="str">
        <f t="shared" si="215"/>
        <v/>
      </c>
      <c r="AQ301" s="31" t="str">
        <f t="shared" si="215"/>
        <v/>
      </c>
      <c r="AR301" s="31" t="str">
        <f t="shared" si="215"/>
        <v/>
      </c>
      <c r="AS301" s="46" t="str">
        <f t="shared" si="216"/>
        <v/>
      </c>
      <c r="AT301" s="31" t="str">
        <f t="shared" si="216"/>
        <v/>
      </c>
      <c r="AU301" s="31" t="str">
        <f t="shared" si="216"/>
        <v/>
      </c>
      <c r="AV301" s="46" t="str">
        <f t="shared" si="217"/>
        <v/>
      </c>
      <c r="AW301" s="31" t="str">
        <f t="shared" si="217"/>
        <v/>
      </c>
      <c r="AX301" s="32" t="str">
        <f t="shared" si="217"/>
        <v/>
      </c>
      <c r="AZ301" s="33"/>
      <c r="BB301" s="67" t="str">
        <f t="shared" si="220"/>
        <v/>
      </c>
      <c r="BC301" s="67" t="str">
        <f t="shared" si="220"/>
        <v/>
      </c>
      <c r="BD301" s="60" t="str">
        <f t="shared" si="218"/>
        <v/>
      </c>
    </row>
    <row r="302" spans="39:56" ht="20.25">
      <c r="AM302" s="30" t="e">
        <f t="shared" si="219"/>
        <v>#REF!</v>
      </c>
      <c r="AN302" s="27" t="e">
        <f t="shared" si="221"/>
        <v>#REF!</v>
      </c>
      <c r="AP302" s="46" t="str">
        <f t="shared" si="215"/>
        <v/>
      </c>
      <c r="AQ302" s="31" t="str">
        <f t="shared" si="215"/>
        <v/>
      </c>
      <c r="AR302" s="31" t="str">
        <f t="shared" si="215"/>
        <v/>
      </c>
      <c r="AS302" s="46" t="str">
        <f t="shared" si="216"/>
        <v/>
      </c>
      <c r="AT302" s="31" t="str">
        <f t="shared" si="216"/>
        <v/>
      </c>
      <c r="AU302" s="31" t="str">
        <f t="shared" si="216"/>
        <v/>
      </c>
      <c r="AV302" s="46" t="str">
        <f t="shared" si="217"/>
        <v/>
      </c>
      <c r="AW302" s="31" t="str">
        <f t="shared" si="217"/>
        <v/>
      </c>
      <c r="AX302" s="32" t="str">
        <f t="shared" si="217"/>
        <v/>
      </c>
      <c r="AZ302" s="23" t="s">
        <v>260</v>
      </c>
      <c r="BB302" s="67" t="str">
        <f t="shared" si="220"/>
        <v/>
      </c>
      <c r="BC302" s="67" t="str">
        <f t="shared" si="220"/>
        <v/>
      </c>
      <c r="BD302" s="60" t="str">
        <f t="shared" si="218"/>
        <v/>
      </c>
    </row>
    <row r="303" spans="39:56" ht="18">
      <c r="AM303" s="30" t="e">
        <f t="shared" si="219"/>
        <v>#REF!</v>
      </c>
      <c r="AN303" s="27" t="e">
        <f t="shared" si="221"/>
        <v>#REF!</v>
      </c>
      <c r="AP303" s="46" t="str">
        <f t="shared" ref="AP303:AR306" si="222">IFERROR(INDEX($E$3:$AI$3,MATCH($AN303&amp;AP$8&amp;ROW(A8),$E$29:$AI$29,0))&amp;"/"&amp;$AN$3,"")</f>
        <v/>
      </c>
      <c r="AQ303" s="31" t="str">
        <f t="shared" si="222"/>
        <v/>
      </c>
      <c r="AR303" s="31" t="str">
        <f t="shared" si="222"/>
        <v/>
      </c>
      <c r="AS303" s="46" t="str">
        <f t="shared" ref="AS303:AU306" si="223">IFERROR(INDEX($E$3:$AI$3,MATCH($AN303&amp;AS$8&amp;ROW(D8),$E$29:$AI$29,0))&amp;"/"&amp;$AN$3,"")</f>
        <v/>
      </c>
      <c r="AT303" s="31" t="str">
        <f t="shared" si="223"/>
        <v/>
      </c>
      <c r="AU303" s="31" t="str">
        <f t="shared" si="223"/>
        <v/>
      </c>
      <c r="AV303" s="46" t="str">
        <f t="shared" ref="AV303:AX306" si="224">IFERROR(INDEX($E$3:$AI$3,MATCH($AN303&amp;AV$8&amp;ROW(G8),$E$29:$AI$29,0))&amp;"/"&amp;$AN$3,"")</f>
        <v/>
      </c>
      <c r="AW303" s="31" t="str">
        <f t="shared" si="224"/>
        <v/>
      </c>
      <c r="AX303" s="32" t="str">
        <f t="shared" si="224"/>
        <v/>
      </c>
      <c r="AZ303" s="33"/>
      <c r="BB303" s="67" t="str">
        <f t="shared" si="220"/>
        <v/>
      </c>
      <c r="BC303" s="67" t="str">
        <f t="shared" si="220"/>
        <v/>
      </c>
      <c r="BD303" s="60" t="str">
        <f>IFERROR(INDEX($E$3:$AI$3,MATCH($AN303&amp;BD$8&amp;ROW(N8),$E$29:$AI$29,0))&amp;"/"&amp;$AN$3,"")</f>
        <v/>
      </c>
    </row>
    <row r="304" spans="39:56" ht="18">
      <c r="AM304" s="30" t="e">
        <f t="shared" si="219"/>
        <v>#REF!</v>
      </c>
      <c r="AN304" s="27" t="e">
        <f t="shared" si="221"/>
        <v>#REF!</v>
      </c>
      <c r="AP304" s="46" t="str">
        <f t="shared" si="222"/>
        <v/>
      </c>
      <c r="AQ304" s="31" t="str">
        <f t="shared" si="222"/>
        <v/>
      </c>
      <c r="AR304" s="31" t="str">
        <f t="shared" si="222"/>
        <v/>
      </c>
      <c r="AS304" s="46" t="str">
        <f t="shared" si="223"/>
        <v/>
      </c>
      <c r="AT304" s="31" t="str">
        <f t="shared" si="223"/>
        <v/>
      </c>
      <c r="AU304" s="31" t="str">
        <f t="shared" si="223"/>
        <v/>
      </c>
      <c r="AV304" s="46" t="str">
        <f t="shared" si="224"/>
        <v/>
      </c>
      <c r="AW304" s="31" t="str">
        <f t="shared" si="224"/>
        <v/>
      </c>
      <c r="AX304" s="32" t="str">
        <f t="shared" si="224"/>
        <v/>
      </c>
      <c r="BB304" s="67" t="str">
        <f t="shared" si="220"/>
        <v/>
      </c>
      <c r="BC304" s="67" t="str">
        <f t="shared" si="220"/>
        <v/>
      </c>
      <c r="BD304" s="60" t="str">
        <f>IFERROR(INDEX($E$3:$AI$3,MATCH($AN304&amp;BD$8&amp;ROW(N9),$E$29:$AI$29,0))&amp;"/"&amp;$AN$3,"")</f>
        <v/>
      </c>
    </row>
    <row r="305" spans="39:56" ht="18">
      <c r="AM305" s="30" t="e">
        <f t="shared" si="219"/>
        <v>#REF!</v>
      </c>
      <c r="AN305" s="27" t="e">
        <f t="shared" si="221"/>
        <v>#REF!</v>
      </c>
      <c r="AP305" s="46" t="str">
        <f t="shared" si="222"/>
        <v/>
      </c>
      <c r="AQ305" s="31" t="str">
        <f t="shared" si="222"/>
        <v/>
      </c>
      <c r="AR305" s="31" t="str">
        <f t="shared" si="222"/>
        <v/>
      </c>
      <c r="AS305" s="46" t="str">
        <f t="shared" si="223"/>
        <v/>
      </c>
      <c r="AT305" s="31" t="str">
        <f t="shared" si="223"/>
        <v/>
      </c>
      <c r="AU305" s="31" t="str">
        <f t="shared" si="223"/>
        <v/>
      </c>
      <c r="AV305" s="46" t="str">
        <f t="shared" si="224"/>
        <v/>
      </c>
      <c r="AW305" s="31" t="str">
        <f t="shared" si="224"/>
        <v/>
      </c>
      <c r="AX305" s="32" t="str">
        <f t="shared" si="224"/>
        <v/>
      </c>
      <c r="BB305" s="67" t="str">
        <f t="shared" si="220"/>
        <v/>
      </c>
      <c r="BC305" s="67" t="str">
        <f t="shared" si="220"/>
        <v/>
      </c>
      <c r="BD305" s="60" t="str">
        <f>IFERROR(INDEX($E$3:$AI$3,MATCH($AN305&amp;BD$8&amp;ROW(N10),$E$29:$AI$29,0))&amp;"/"&amp;$AN$3,"")</f>
        <v/>
      </c>
    </row>
    <row r="306" spans="39:56" ht="18.75" thickBot="1">
      <c r="AM306" s="51" t="e">
        <f t="shared" si="219"/>
        <v>#REF!</v>
      </c>
      <c r="AN306" s="28" t="e">
        <f t="shared" si="221"/>
        <v>#REF!</v>
      </c>
      <c r="AO306" s="26"/>
      <c r="AP306" s="52" t="str">
        <f t="shared" si="222"/>
        <v/>
      </c>
      <c r="AQ306" s="53" t="str">
        <f t="shared" si="222"/>
        <v/>
      </c>
      <c r="AR306" s="53" t="str">
        <f t="shared" si="222"/>
        <v/>
      </c>
      <c r="AS306" s="52" t="str">
        <f t="shared" si="223"/>
        <v/>
      </c>
      <c r="AT306" s="53" t="str">
        <f t="shared" si="223"/>
        <v/>
      </c>
      <c r="AU306" s="53" t="str">
        <f t="shared" si="223"/>
        <v/>
      </c>
      <c r="AV306" s="52" t="str">
        <f t="shared" si="224"/>
        <v/>
      </c>
      <c r="AW306" s="53" t="str">
        <f t="shared" si="224"/>
        <v/>
      </c>
      <c r="AX306" s="54" t="str">
        <f t="shared" si="224"/>
        <v/>
      </c>
      <c r="AZ306" s="26" t="str">
        <f>AP306</f>
        <v/>
      </c>
      <c r="BA306" s="29"/>
      <c r="BB306" s="67" t="str">
        <f t="shared" si="220"/>
        <v/>
      </c>
      <c r="BC306" s="67" t="str">
        <f t="shared" si="220"/>
        <v/>
      </c>
      <c r="BD306" s="61" t="str">
        <f>IFERROR(INDEX($E$3:$AI$3,MATCH($AN306&amp;BD$8&amp;ROW(N11),$E$29:$AI$29,0))&amp;"/"&amp;$AN$3,"")</f>
        <v/>
      </c>
    </row>
    <row r="307" spans="39:56">
      <c r="BA307" s="22"/>
    </row>
    <row r="308" spans="39:56">
      <c r="BA308" s="22"/>
    </row>
    <row r="309" spans="39:56">
      <c r="BA309" s="22"/>
    </row>
    <row r="310" spans="39:56">
      <c r="BA310" s="22"/>
    </row>
    <row r="311" spans="39:56">
      <c r="BA311" s="22"/>
    </row>
    <row r="312" spans="39:56">
      <c r="BA312" s="22"/>
    </row>
    <row r="313" spans="39:56">
      <c r="BA313" s="22"/>
    </row>
    <row r="314" spans="39:56">
      <c r="BA314" s="22"/>
    </row>
    <row r="315" spans="39:56">
      <c r="BA315" s="22"/>
    </row>
    <row r="316" spans="39:56">
      <c r="BA316" s="22"/>
    </row>
  </sheetData>
  <sheetProtection algorithmName="SHA-512" hashValue="16FMyNEbWUQap3LK3iGpvdBtJKzAHSKtzXJJHV4cPsJeGU6RgdWHk3u6U8hYpBJIQwri7YxxfN4GbR1gSRqHVw==" saltValue="XwJ+Z9Eu1PwyvHkO07eagQ==" spinCount="100000" sheet="1" autoFilter="0"/>
  <autoFilter ref="AM7:BD306" xr:uid="{5AF0A459-BED7-4E7D-9975-8FC06F40F622}"/>
  <mergeCells count="2">
    <mergeCell ref="A1:R1"/>
    <mergeCell ref="BB5:BC5"/>
  </mergeCells>
  <phoneticPr fontId="20" type="noConversion"/>
  <conditionalFormatting sqref="E2:AI2">
    <cfRule type="cellIs" dxfId="2" priority="1" operator="equal">
      <formula>"週日"</formula>
    </cfRule>
  </conditionalFormatting>
  <conditionalFormatting sqref="E2:AI3">
    <cfRule type="containsText" dxfId="1" priority="2" operator="containsText" text="週日">
      <formula>NOT(ISERROR(SEARCH("週日",E2)))</formula>
    </cfRule>
  </conditionalFormatting>
  <conditionalFormatting sqref="E3:AI3">
    <cfRule type="containsText" dxfId="0" priority="429" operator="containsText" text="PH">
      <formula>NOT(ISERROR(SEARCH("PH",E3)))</formula>
    </cfRule>
  </conditionalFormatting>
  <printOptions horizontalCentered="1"/>
  <pageMargins left="0" right="0" top="0.74803149606299213" bottom="0.19685039370078741" header="0.31496062992125984" footer="0.31496062992125984"/>
  <pageSetup paperSize="9" scale="46" orientation="portrait" r:id="rId1"/>
  <headerFooter>
    <oddHeader>&amp;C&amp;"Times New Roman,粗體"&amp;26 迎進生活
1/6/2020 - 30/6/2020</oddHeader>
  </headerFooter>
  <rowBreaks count="2" manualBreakCount="2">
    <brk id="90" min="38" max="52" man="1"/>
    <brk id="282" min="38" max="5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7ad6ff-68f5-44db-9a0e-a628a03ced93">
      <Terms xmlns="http://schemas.microsoft.com/office/infopath/2007/PartnerControls"/>
    </lcf76f155ced4ddcb4097134ff3c332f>
    <TaxCatchAll xmlns="284a6d76-4a63-472c-a46f-5b996d85b213" xsi:nil="true"/>
    <SharedWithUsers xmlns="284a6d76-4a63-472c-a46f-5b996d85b213">
      <UserInfo>
        <DisplayName>Carbee Lee</DisplayName>
        <AccountId>55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5BB7F4050714BA34AF2E2E953415A" ma:contentTypeVersion="14" ma:contentTypeDescription="Create a new document." ma:contentTypeScope="" ma:versionID="26906d0169c7b2e9f314512111151b87">
  <xsd:schema xmlns:xsd="http://www.w3.org/2001/XMLSchema" xmlns:xs="http://www.w3.org/2001/XMLSchema" xmlns:p="http://schemas.microsoft.com/office/2006/metadata/properties" xmlns:ns2="c07ad6ff-68f5-44db-9a0e-a628a03ced93" xmlns:ns3="284a6d76-4a63-472c-a46f-5b996d85b213" targetNamespace="http://schemas.microsoft.com/office/2006/metadata/properties" ma:root="true" ma:fieldsID="1f43727939624b0c87ad19552a57e1da" ns2:_="" ns3:_="">
    <xsd:import namespace="c07ad6ff-68f5-44db-9a0e-a628a03ced93"/>
    <xsd:import namespace="284a6d76-4a63-472c-a46f-5b996d85b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ad6ff-68f5-44db-9a0e-a628a03ced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2be6f3-9af7-4604-918b-48e37edb85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a6d76-4a63-472c-a46f-5b996d85b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57e5a51-a251-43c3-a42f-d1f9a65e0cec}" ma:internalName="TaxCatchAll" ma:showField="CatchAllData" ma:web="284a6d76-4a63-472c-a46f-5b996d85b2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54FAAC-BDF0-4E91-A5AC-50B060821ECA}"/>
</file>

<file path=customXml/itemProps2.xml><?xml version="1.0" encoding="utf-8"?>
<ds:datastoreItem xmlns:ds="http://schemas.openxmlformats.org/officeDocument/2006/customXml" ds:itemID="{F0AA2D1C-49DF-4E62-B488-EB3AF633F507}"/>
</file>

<file path=customXml/itemProps3.xml><?xml version="1.0" encoding="utf-8"?>
<ds:datastoreItem xmlns:ds="http://schemas.openxmlformats.org/officeDocument/2006/customXml" ds:itemID="{8D09C874-C096-432B-8E16-A252ACE5D5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Pak Hong Lam</dc:creator>
  <cp:keywords/>
  <dc:description/>
  <cp:lastModifiedBy>Cherry Siu</cp:lastModifiedBy>
  <cp:revision/>
  <dcterms:created xsi:type="dcterms:W3CDTF">2020-04-14T06:26:01Z</dcterms:created>
  <dcterms:modified xsi:type="dcterms:W3CDTF">2026-05-29T08:20:18Z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0x010100E5E5BB7F4050714BA34AF2E2E953415A</vt:lpwstr>
  </property>
  <property fmtid="{D5CDD505-2E9C-101B-9397-08002B2CF9AE}" pid="3" name="MediaServiceImageTags">
    <vt:lpwstr/>
  </property>
</Properties>
</file>